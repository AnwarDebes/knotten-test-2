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uiano-my.sharepoint.com/personal/henriklj_uia_no/Documents/UIA skole Høst 2026/PRA204 internship/"/>
    </mc:Choice>
  </mc:AlternateContent>
  <xr:revisionPtr revIDLastSave="836" documentId="8_{34AB8FAC-8747-402A-BF14-63F796751083}" xr6:coauthVersionLast="47" xr6:coauthVersionMax="47" xr10:uidLastSave="{194DF8B2-7A61-43CD-A19D-729F82FF2EA1}"/>
  <bookViews>
    <workbookView xWindow="-98" yWindow="-98" windowWidth="21795" windowHeight="12975" xr2:uid="{5526B1BB-4397-4FAC-8631-1064080224F2}"/>
  </bookViews>
  <sheets>
    <sheet name="Forutsetninger" sheetId="1" r:id="rId1"/>
    <sheet name="Energiregnska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8" i="2" l="1"/>
  <c r="B77" i="2"/>
  <c r="B76" i="2"/>
  <c r="B75" i="2"/>
  <c r="B74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26" i="2"/>
  <c r="C25" i="2"/>
  <c r="O18" i="2"/>
  <c r="O17" i="2"/>
  <c r="L17" i="2"/>
  <c r="M17" i="2" s="1"/>
  <c r="O16" i="2"/>
  <c r="O15" i="2"/>
  <c r="O14" i="2"/>
  <c r="O13" i="2"/>
  <c r="O12" i="2"/>
  <c r="O11" i="2"/>
  <c r="O10" i="2"/>
  <c r="O9" i="2"/>
  <c r="O8" i="2"/>
  <c r="O7" i="2"/>
  <c r="O19" i="2" s="1"/>
  <c r="H19" i="2"/>
  <c r="B48" i="1"/>
  <c r="B43" i="1"/>
  <c r="B41" i="1"/>
  <c r="B32" i="1"/>
  <c r="B35" i="1" s="1"/>
  <c r="Q18" i="2"/>
  <c r="Q16" i="2"/>
  <c r="Q15" i="2"/>
  <c r="Q14" i="2"/>
  <c r="F19" i="2"/>
  <c r="B19" i="1"/>
  <c r="B21" i="1" s="1"/>
  <c r="B23" i="1" s="1"/>
  <c r="B26" i="1" s="1"/>
  <c r="B27" i="1" s="1"/>
  <c r="B11" i="1"/>
  <c r="J18" i="2" s="1"/>
  <c r="B12" i="1"/>
  <c r="I17" i="2" s="1"/>
  <c r="B13" i="1"/>
  <c r="K17" i="2" s="1"/>
  <c r="A46" i="2"/>
  <c r="A45" i="2"/>
  <c r="A44" i="2"/>
  <c r="A43" i="2"/>
  <c r="A42" i="2"/>
  <c r="A41" i="2"/>
  <c r="A40" i="2"/>
  <c r="A39" i="2"/>
  <c r="A38" i="2"/>
  <c r="A37" i="2"/>
  <c r="A36" i="2"/>
  <c r="A35" i="2"/>
  <c r="E19" i="2"/>
  <c r="D19" i="2"/>
  <c r="C19" i="2"/>
  <c r="B19" i="2"/>
  <c r="B60" i="1"/>
  <c r="B53" i="1"/>
  <c r="M11" i="2" l="1"/>
  <c r="N16" i="2"/>
  <c r="N17" i="2"/>
  <c r="P17" i="2" s="1"/>
  <c r="M12" i="2"/>
  <c r="Q8" i="2"/>
  <c r="Q9" i="2"/>
  <c r="Q10" i="2"/>
  <c r="Q11" i="2"/>
  <c r="Q13" i="2"/>
  <c r="Q17" i="2"/>
  <c r="Q12" i="2"/>
  <c r="B36" i="1"/>
  <c r="R9" i="2"/>
  <c r="R13" i="2"/>
  <c r="R8" i="2"/>
  <c r="R12" i="2"/>
  <c r="R16" i="2"/>
  <c r="S16" i="2" s="1"/>
  <c r="R17" i="2"/>
  <c r="R10" i="2"/>
  <c r="R14" i="2"/>
  <c r="S14" i="2" s="1"/>
  <c r="R18" i="2"/>
  <c r="R7" i="2"/>
  <c r="R11" i="2"/>
  <c r="R15" i="2"/>
  <c r="S15" i="2" s="1"/>
  <c r="Q7" i="2"/>
  <c r="I18" i="2"/>
  <c r="B14" i="1"/>
  <c r="I8" i="2"/>
  <c r="J14" i="2"/>
  <c r="J9" i="2"/>
  <c r="I10" i="2"/>
  <c r="I13" i="2"/>
  <c r="I14" i="2"/>
  <c r="J15" i="2"/>
  <c r="I7" i="2"/>
  <c r="J10" i="2"/>
  <c r="I11" i="2"/>
  <c r="AE11" i="2" s="1"/>
  <c r="I12" i="2"/>
  <c r="AE12" i="2" s="1"/>
  <c r="I15" i="2"/>
  <c r="AE15" i="2" s="1"/>
  <c r="J16" i="2"/>
  <c r="J8" i="2"/>
  <c r="I9" i="2"/>
  <c r="J11" i="2"/>
  <c r="J13" i="2"/>
  <c r="I16" i="2"/>
  <c r="J17" i="2"/>
  <c r="AE17" i="2" s="1"/>
  <c r="J7" i="2"/>
  <c r="J12" i="2"/>
  <c r="K18" i="2"/>
  <c r="L18" i="2" s="1"/>
  <c r="N18" i="2" s="1"/>
  <c r="K13" i="2"/>
  <c r="L13" i="2" s="1"/>
  <c r="N13" i="2" s="1"/>
  <c r="K14" i="2"/>
  <c r="L14" i="2" s="1"/>
  <c r="M14" i="2" s="1"/>
  <c r="K7" i="2"/>
  <c r="K10" i="2"/>
  <c r="L10" i="2" s="1"/>
  <c r="N10" i="2" s="1"/>
  <c r="K15" i="2"/>
  <c r="L15" i="2" s="1"/>
  <c r="M15" i="2" s="1"/>
  <c r="K8" i="2"/>
  <c r="L8" i="2" s="1"/>
  <c r="N8" i="2" s="1"/>
  <c r="K9" i="2"/>
  <c r="K12" i="2"/>
  <c r="L12" i="2" s="1"/>
  <c r="N12" i="2" s="1"/>
  <c r="K11" i="2"/>
  <c r="L11" i="2" s="1"/>
  <c r="N11" i="2" s="1"/>
  <c r="K16" i="2"/>
  <c r="L16" i="2" s="1"/>
  <c r="M16" i="2" s="1"/>
  <c r="L9" i="2" l="1"/>
  <c r="M9" i="2" s="1"/>
  <c r="N9" i="2"/>
  <c r="AE7" i="2"/>
  <c r="AE13" i="2"/>
  <c r="L7" i="2"/>
  <c r="M7" i="2" s="1"/>
  <c r="P7" i="2" s="1"/>
  <c r="N7" i="2"/>
  <c r="N15" i="2"/>
  <c r="P15" i="2" s="1"/>
  <c r="P16" i="2"/>
  <c r="P11" i="2"/>
  <c r="AE8" i="2"/>
  <c r="N14" i="2"/>
  <c r="P14" i="2" s="1"/>
  <c r="T14" i="2" s="1"/>
  <c r="S10" i="2"/>
  <c r="P12" i="2"/>
  <c r="AE10" i="2"/>
  <c r="AE9" i="2"/>
  <c r="AE18" i="2"/>
  <c r="AE14" i="2"/>
  <c r="M18" i="2"/>
  <c r="P18" i="2" s="1"/>
  <c r="M8" i="2"/>
  <c r="P8" i="2" s="1"/>
  <c r="AE16" i="2"/>
  <c r="M10" i="2"/>
  <c r="P10" i="2" s="1"/>
  <c r="M13" i="2"/>
  <c r="P13" i="2" s="1"/>
  <c r="S8" i="2"/>
  <c r="G19" i="2"/>
  <c r="S9" i="2"/>
  <c r="S13" i="2"/>
  <c r="B44" i="2"/>
  <c r="B43" i="2"/>
  <c r="T13" i="2"/>
  <c r="S17" i="2"/>
  <c r="S12" i="2"/>
  <c r="B39" i="2"/>
  <c r="B42" i="2"/>
  <c r="B40" i="2"/>
  <c r="T18" i="2"/>
  <c r="B46" i="2"/>
  <c r="S18" i="2"/>
  <c r="S7" i="2"/>
  <c r="T17" i="2"/>
  <c r="C45" i="2" s="1"/>
  <c r="S11" i="2"/>
  <c r="R19" i="2"/>
  <c r="I19" i="2"/>
  <c r="J19" i="2"/>
  <c r="Q19" i="2"/>
  <c r="K19" i="2"/>
  <c r="B36" i="2" l="1"/>
  <c r="B41" i="2"/>
  <c r="P9" i="2"/>
  <c r="T9" i="2" s="1"/>
  <c r="C37" i="2" s="1"/>
  <c r="B45" i="2"/>
  <c r="T8" i="2"/>
  <c r="U8" i="2" s="1"/>
  <c r="U17" i="2"/>
  <c r="V17" i="2" s="1"/>
  <c r="W17" i="2" s="1"/>
  <c r="D45" i="2" s="1"/>
  <c r="T15" i="2"/>
  <c r="C43" i="2" s="1"/>
  <c r="T10" i="2"/>
  <c r="U10" i="2" s="1"/>
  <c r="C36" i="2"/>
  <c r="S19" i="2"/>
  <c r="C23" i="2" s="1"/>
  <c r="B35" i="2"/>
  <c r="B37" i="2"/>
  <c r="T12" i="2"/>
  <c r="U12" i="2" s="1"/>
  <c r="V12" i="2" s="1"/>
  <c r="W12" i="2" s="1"/>
  <c r="N19" i="2"/>
  <c r="B38" i="2"/>
  <c r="T16" i="2"/>
  <c r="C44" i="2" s="1"/>
  <c r="U14" i="2"/>
  <c r="C42" i="2"/>
  <c r="C41" i="2"/>
  <c r="U13" i="2"/>
  <c r="V13" i="2" s="1"/>
  <c r="W13" i="2" s="1"/>
  <c r="C46" i="2"/>
  <c r="U18" i="2"/>
  <c r="V18" i="2"/>
  <c r="W18" i="2" s="1"/>
  <c r="D46" i="2" s="1"/>
  <c r="T11" i="2"/>
  <c r="C39" i="2" s="1"/>
  <c r="Z17" i="2"/>
  <c r="AA17" i="2"/>
  <c r="Y17" i="2"/>
  <c r="X17" i="2"/>
  <c r="AE19" i="2"/>
  <c r="U9" i="2" l="1"/>
  <c r="V9" i="2" s="1"/>
  <c r="E45" i="2"/>
  <c r="AB17" i="2"/>
  <c r="F45" i="2"/>
  <c r="AC17" i="2"/>
  <c r="U15" i="2"/>
  <c r="V15" i="2" s="1"/>
  <c r="W15" i="2" s="1"/>
  <c r="D43" i="2" s="1"/>
  <c r="V8" i="2"/>
  <c r="W8" i="2" s="1"/>
  <c r="D36" i="2" s="1"/>
  <c r="C38" i="2"/>
  <c r="V10" i="2"/>
  <c r="Z10" i="2" s="1"/>
  <c r="U16" i="2"/>
  <c r="C40" i="2"/>
  <c r="Z12" i="2"/>
  <c r="AC12" i="2" s="1"/>
  <c r="U11" i="2"/>
  <c r="V11" i="2" s="1"/>
  <c r="Z18" i="2"/>
  <c r="AC18" i="2" s="1"/>
  <c r="Z13" i="2"/>
  <c r="AC13" i="2" s="1"/>
  <c r="V16" i="2"/>
  <c r="Z16" i="2" s="1"/>
  <c r="AC16" i="2" s="1"/>
  <c r="V14" i="2"/>
  <c r="X13" i="2"/>
  <c r="D41" i="2"/>
  <c r="X12" i="2"/>
  <c r="D40" i="2"/>
  <c r="AG17" i="2"/>
  <c r="Y18" i="2"/>
  <c r="AA18" i="2"/>
  <c r="X18" i="2"/>
  <c r="Y8" i="2"/>
  <c r="AA8" i="2"/>
  <c r="Y13" i="2"/>
  <c r="AA13" i="2"/>
  <c r="Y12" i="2"/>
  <c r="AA12" i="2"/>
  <c r="W9" i="2"/>
  <c r="Z9" i="2"/>
  <c r="AC9" i="2" s="1"/>
  <c r="B47" i="2"/>
  <c r="L19" i="2"/>
  <c r="E46" i="2" l="1"/>
  <c r="AB18" i="2"/>
  <c r="AD18" i="2" s="1"/>
  <c r="X8" i="2"/>
  <c r="F38" i="2"/>
  <c r="AC10" i="2"/>
  <c r="Y15" i="2"/>
  <c r="AG15" i="2" s="1"/>
  <c r="E36" i="2"/>
  <c r="AB8" i="2"/>
  <c r="AD8" i="2" s="1"/>
  <c r="AA15" i="2"/>
  <c r="Z15" i="2"/>
  <c r="E40" i="2"/>
  <c r="AB12" i="2"/>
  <c r="AD12" i="2" s="1"/>
  <c r="AF12" i="2" s="1"/>
  <c r="X15" i="2"/>
  <c r="AD17" i="2"/>
  <c r="AF17" i="2" s="1"/>
  <c r="E41" i="2"/>
  <c r="AB13" i="2"/>
  <c r="AD13" i="2" s="1"/>
  <c r="AF13" i="2" s="1"/>
  <c r="W10" i="2"/>
  <c r="D38" i="2" s="1"/>
  <c r="Z8" i="2"/>
  <c r="AC8" i="2" s="1"/>
  <c r="F40" i="2"/>
  <c r="F41" i="2"/>
  <c r="F46" i="2"/>
  <c r="F44" i="2"/>
  <c r="W14" i="2"/>
  <c r="X14" i="2" s="1"/>
  <c r="Z14" i="2"/>
  <c r="AC14" i="2" s="1"/>
  <c r="W16" i="2"/>
  <c r="X16" i="2" s="1"/>
  <c r="Z11" i="2"/>
  <c r="AC11" i="2" s="1"/>
  <c r="W11" i="2"/>
  <c r="F37" i="2"/>
  <c r="X9" i="2"/>
  <c r="D37" i="2"/>
  <c r="AG13" i="2"/>
  <c r="AA10" i="2"/>
  <c r="Y10" i="2"/>
  <c r="Y9" i="2"/>
  <c r="AA9" i="2"/>
  <c r="AG12" i="2"/>
  <c r="AG8" i="2"/>
  <c r="AG18" i="2"/>
  <c r="AF18" i="2"/>
  <c r="X10" i="2"/>
  <c r="M19" i="2"/>
  <c r="F43" i="2" l="1"/>
  <c r="AC15" i="2"/>
  <c r="E37" i="2"/>
  <c r="AB9" i="2"/>
  <c r="AD9" i="2" s="1"/>
  <c r="E43" i="2"/>
  <c r="AB15" i="2"/>
  <c r="AD15" i="2" s="1"/>
  <c r="E38" i="2"/>
  <c r="AB10" i="2"/>
  <c r="AD10" i="2" s="1"/>
  <c r="AF8" i="2"/>
  <c r="F36" i="2"/>
  <c r="AF15" i="2"/>
  <c r="D39" i="2"/>
  <c r="Y11" i="2"/>
  <c r="AB11" i="2" s="1"/>
  <c r="AD11" i="2" s="1"/>
  <c r="AA11" i="2"/>
  <c r="X11" i="2"/>
  <c r="F39" i="2"/>
  <c r="D44" i="2"/>
  <c r="Y16" i="2"/>
  <c r="AB16" i="2" s="1"/>
  <c r="AD16" i="2" s="1"/>
  <c r="AA16" i="2"/>
  <c r="F42" i="2"/>
  <c r="Y14" i="2"/>
  <c r="AB14" i="2" s="1"/>
  <c r="AD14" i="2" s="1"/>
  <c r="D42" i="2"/>
  <c r="AA14" i="2"/>
  <c r="T7" i="2"/>
  <c r="AG9" i="2"/>
  <c r="AF9" i="2"/>
  <c r="AG10" i="2"/>
  <c r="AF10" i="2"/>
  <c r="P19" i="2"/>
  <c r="C22" i="2" s="1"/>
  <c r="E42" i="2" l="1"/>
  <c r="AF14" i="2"/>
  <c r="AG14" i="2"/>
  <c r="E44" i="2"/>
  <c r="AF16" i="2"/>
  <c r="AG16" i="2"/>
  <c r="C35" i="2"/>
  <c r="C47" i="2" s="1"/>
  <c r="U7" i="2"/>
  <c r="E39" i="2"/>
  <c r="AG11" i="2"/>
  <c r="AF11" i="2"/>
  <c r="T19" i="2"/>
  <c r="V7" i="2" l="1"/>
  <c r="V19" i="2" s="1"/>
  <c r="U19" i="2"/>
  <c r="W7" i="2" l="1"/>
  <c r="X7" i="2" s="1"/>
  <c r="X19" i="2" s="1"/>
  <c r="Z7" i="2"/>
  <c r="W19" i="2"/>
  <c r="F35" i="2" l="1"/>
  <c r="AC7" i="2"/>
  <c r="Z19" i="2"/>
  <c r="F47" i="2"/>
  <c r="AC19" i="2"/>
  <c r="D35" i="2"/>
  <c r="D47" i="2" s="1"/>
  <c r="AA7" i="2"/>
  <c r="Y7" i="2"/>
  <c r="AB7" i="2" s="1"/>
  <c r="AA19" i="2"/>
  <c r="C27" i="2" s="1"/>
  <c r="C24" i="2"/>
  <c r="Y19" i="2"/>
  <c r="E35" i="2" l="1"/>
  <c r="E47" i="2" s="1"/>
  <c r="AG7" i="2"/>
  <c r="AG19" i="2" s="1"/>
  <c r="C31" i="2" s="1"/>
  <c r="AD7" i="2"/>
  <c r="AF7" i="2" s="1"/>
  <c r="AB19" i="2" l="1"/>
  <c r="AF19" i="2"/>
  <c r="AD19" i="2"/>
  <c r="C28" i="2" s="1"/>
  <c r="C29" i="2" l="1"/>
  <c r="C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Henrik Ljones Sundfjord</author>
  </authors>
  <commentList>
    <comment ref="G6" authorId="0" shapeId="0" xr:uid="{177B881B-0227-4F94-84B7-5A31B155956B}">
      <text>
        <r>
          <rPr>
            <b/>
            <sz val="9"/>
            <color indexed="81"/>
            <rFont val="Tahoma"/>
            <charset val="1"/>
          </rPr>
          <t>Henrik Ljones Sundfjord:</t>
        </r>
        <r>
          <rPr>
            <sz val="9"/>
            <color indexed="81"/>
            <rFont val="Tahoma"/>
            <charset val="1"/>
          </rPr>
          <t xml:space="preserve">
Andel av årlig levert varme fra bergvarmeanlegget som brønnene kan avgi denne måneden. Satt proporsjonalt med antall dager, dvs. jevn effektbegrenset kapasitet. Skriv inn egne verdier hvis brønnparken har sesongvariasjon.</t>
        </r>
      </text>
    </comment>
    <comment ref="H6" authorId="0" shapeId="0" xr:uid="{AE7BEBF7-D690-4FF8-B281-74C34BD4C526}">
      <text>
        <r>
          <rPr>
            <b/>
            <sz val="9"/>
            <color indexed="81"/>
            <rFont val="Tahoma"/>
            <charset val="1"/>
          </rPr>
          <t>Henrik Ljones Sundfjord:</t>
        </r>
        <r>
          <rPr>
            <sz val="9"/>
            <color indexed="81"/>
            <rFont val="Tahoma"/>
            <charset val="1"/>
          </rPr>
          <t xml:space="preserve">
Månedspris på spotstrøm i forhold til årssnittet. 1,30 = 30 % over snittet. Snittet i rad 19 skal være 1,00. Typisk norsk sesongmønster – juster mot egne pristall.</t>
        </r>
      </text>
    </comment>
  </commentList>
</comments>
</file>

<file path=xl/sharedStrings.xml><?xml version="1.0" encoding="utf-8"?>
<sst xmlns="http://schemas.openxmlformats.org/spreadsheetml/2006/main" count="240" uniqueCount="197">
  <si>
    <t>KNOTTEN – BOLIGPROSJEKT</t>
  </si>
  <si>
    <t>Forutsetninger for månedlig energiregnskap</t>
  </si>
  <si>
    <t>Blå tall = inndata som kan endres. Sorte tall = beregnet.</t>
  </si>
  <si>
    <t>Total forbruk</t>
  </si>
  <si>
    <t>Verdi</t>
  </si>
  <si>
    <t>Presisering</t>
  </si>
  <si>
    <t>Nøyaktighet / vurdering</t>
  </si>
  <si>
    <t>Antall boliger</t>
  </si>
  <si>
    <t>Sikker – fastsatt i prosjektet</t>
  </si>
  <si>
    <t>El-forbruk per bolig (utenom oppvarming)</t>
  </si>
  <si>
    <t>usikkert</t>
  </si>
  <si>
    <t>Netto varmebehov per bolig (rom + tappevann)</t>
  </si>
  <si>
    <t>El-forbruk kontorbygg</t>
  </si>
  <si>
    <t>±30 % – ikke prosjektert. Avhenger av ventilasjon, kjøling og driftstid</t>
  </si>
  <si>
    <t>El-forbruk lager</t>
  </si>
  <si>
    <t>±30 % – ikke prosjektert. Avhenger av om lageret er oppvarmet/kjølt</t>
  </si>
  <si>
    <t>Sum el-forbruk kontor + lager</t>
  </si>
  <si>
    <t>Beregnet – arver usikkerheten i radene over</t>
  </si>
  <si>
    <t>Sum el-behov boliger</t>
  </si>
  <si>
    <t>Sum netto varmebehov boliger</t>
  </si>
  <si>
    <t>TOTALT ENERGIBEHOV PROSJEKTET (el + varme)</t>
  </si>
  <si>
    <t>Beregnet – realistisk spenn ca. ±25 % rundt denne verdien</t>
  </si>
  <si>
    <t>PRODUKSJON – SOLCELLER (PV)</t>
  </si>
  <si>
    <t>Takareal tilgjengelig per bolig</t>
  </si>
  <si>
    <t>±15 % – avhenger av takform, orientering og tekniske gjennomføringer</t>
  </si>
  <si>
    <t>Takareal kontorbygg + lager</t>
  </si>
  <si>
    <t>±20 % – grovt anslag fra volumskisse</t>
  </si>
  <si>
    <t>Sum tilgjengelig takareal</t>
  </si>
  <si>
    <t>Beregnet</t>
  </si>
  <si>
    <t>Utnyttelsesgrad av takareal</t>
  </si>
  <si>
    <t>Luker, kanter, teknikk</t>
  </si>
  <si>
    <t>±10 %-poeng – normalt 70–85 % avhengig av luker, kanter og teknisk utstyr på tak</t>
  </si>
  <si>
    <t>Netto modulareal</t>
  </si>
  <si>
    <t>Modulvirkningsgrad</t>
  </si>
  <si>
    <t>Ved STC</t>
  </si>
  <si>
    <t>For høyt satt – standardmoduler ligger i dag på 20–23 % ved STC. Bør reduseres, dette gir ca. 30 % for høy solproduksjon</t>
  </si>
  <si>
    <t>Installert effekt</t>
  </si>
  <si>
    <t>1 kW/m² ved STC</t>
  </si>
  <si>
    <t>Produksjonsfaktor (energiutbytte)</t>
  </si>
  <si>
    <t>±10 % – typisk 850–1000 kWh/kWp i Sør-Norge ved god orientering, lavere lengre nord</t>
  </si>
  <si>
    <t>Systemvirkningsgrad (samlede tap)</t>
  </si>
  <si>
    <t>Inverter, snø, skygge, temperatur</t>
  </si>
  <si>
    <t>±5 %-poeng – erfaringstall for tap i inverter, snø, skygge og temperatur</t>
  </si>
  <si>
    <t>Årsproduksjon solstrøm</t>
  </si>
  <si>
    <t xml:space="preserve">Beregnet </t>
  </si>
  <si>
    <t>Spesifikk produksjon (kontroll)</t>
  </si>
  <si>
    <t>Kontrolltall – bør ligge på 750–950 kWh/kWp/år</t>
  </si>
  <si>
    <t>PRODUKSJON – VINDTURBINER</t>
  </si>
  <si>
    <t>Antall turbiner</t>
  </si>
  <si>
    <t xml:space="preserve">Valgt inndata </t>
  </si>
  <si>
    <t>Nominell effekt per turbin</t>
  </si>
  <si>
    <t>Valgt inndata – må tilpasses faktisk turbinmodell</t>
  </si>
  <si>
    <t>Installert effekt vind</t>
  </si>
  <si>
    <t>Kapasitetsfaktor</t>
  </si>
  <si>
    <t>Av installert effekt over året</t>
  </si>
  <si>
    <t>Svært usikker, Krever vindmåling på tomta</t>
  </si>
  <si>
    <t>Tilgjengelighet og tekniske tap</t>
  </si>
  <si>
    <t>Drift, vedlikehold, nettap</t>
  </si>
  <si>
    <t>±10 %-poeng – erfaringstall, avhenger av drift og vedlikehold</t>
  </si>
  <si>
    <t>Årsproduksjon vindkraft</t>
  </si>
  <si>
    <t xml:space="preserve">Modellens mest usikre produksjonstall </t>
  </si>
  <si>
    <t>Fullasttimer (kontroll)</t>
  </si>
  <si>
    <t>Kontrolltall – småturbiner i innlandet ligger typisk på 900–1800 h/år</t>
  </si>
  <si>
    <t>SESONGLAGRING I BERG (REGENERERING)</t>
  </si>
  <si>
    <t>Strøm til regenerering av brønner</t>
  </si>
  <si>
    <t>Fra sommeroverskudd</t>
  </si>
  <si>
    <t>Ditt valg – sett ikke høyere enn overskuddet du faktisk har. Sammenlign med «Solgt til nett» på Energiregnskap</t>
  </si>
  <si>
    <t>Varmefaktor ved lading av berg</t>
  </si>
  <si>
    <t>Varme til grunnen per kWh strøm</t>
  </si>
  <si>
    <t>±1,0 – varmepumpe i kjøledrift gir 3–5. Direkte elkolbe gir 1,0. Solfanger på tak ville gitt gratis lading</t>
  </si>
  <si>
    <t>Varme tilført grunnen</t>
  </si>
  <si>
    <t>Lagringsvirkningsgrad i berg</t>
  </si>
  <si>
    <t>Som kan hentes ut igjen</t>
  </si>
  <si>
    <t>±15 %-poeng – svært usikkert. Varme siver bort i berget. Avhenger av brønngeometri og grunnvannsstrøm, krever geoteknisk vurdering</t>
  </si>
  <si>
    <t>Gjenvinnbart tillegg til uttak</t>
  </si>
  <si>
    <t>Beregnet – legges til uttaket fra brønnene i blokken under</t>
  </si>
  <si>
    <t>VARMELØSNING – BERGVARME</t>
  </si>
  <si>
    <t>Uttatt energi fra energibrønner</t>
  </si>
  <si>
    <t>Gratis, uten regenerering</t>
  </si>
  <si>
    <t>Ditt eget anslag fra brønnberegningen – erstatt verdien. Dette er varmen som hentes ut av grunnen, uten strømmen varmepumpen bruker</t>
  </si>
  <si>
    <t>Årsvarmefaktor (SCOP)</t>
  </si>
  <si>
    <t>Varme ut per kWh strøm inn</t>
  </si>
  <si>
    <t>1 kWh strøm gir 3,6 kWh varme. ±0,4 – typisk 3,2–4,0 med gulvvarme, lavere ved høy turtemperatur og tappevann</t>
  </si>
  <si>
    <t>Levert varme fra bergvarmeanlegget</t>
  </si>
  <si>
    <t>Brønnvarme + strøm</t>
  </si>
  <si>
    <t>Beregnet – uttak fra grunnen pluss regenerert varme, pluss strømmen til kompressoren</t>
  </si>
  <si>
    <t>LAGRING – BATTERI</t>
  </si>
  <si>
    <t>Batterikapasitet per bolig</t>
  </si>
  <si>
    <t>Valgt inndata – dimensjoneres i detaljprosjektering</t>
  </si>
  <si>
    <t>Total batterikapasitet</t>
  </si>
  <si>
    <t>Round-trip virkningsgrad</t>
  </si>
  <si>
    <t>Ut / inn</t>
  </si>
  <si>
    <t>±5 %-poeng – typisk 85–92 % for litiumbatteri, faller med alder</t>
  </si>
  <si>
    <t>Maks sykluser per døgn</t>
  </si>
  <si>
    <t>Forenkling – én full syklus per døgn. Reell utnyttelse avhenger av styring</t>
  </si>
  <si>
    <t>PRISER OG UTSLIPP</t>
  </si>
  <si>
    <t>Spotpris strøm (årssnitt)</t>
  </si>
  <si>
    <t>Svært usikker – historisk snitt har variert mellom 0,4 og 2,5 kr/kWh. Bør sensitivitetstestes</t>
  </si>
  <si>
    <t>Nettleie (energiledd)</t>
  </si>
  <si>
    <t>±0,10 kr – fastsettes årlig av nettselskapet</t>
  </si>
  <si>
    <t>Sum kjøpspris strøm</t>
  </si>
  <si>
    <t>Salgspris overskuddsstrøm</t>
  </si>
  <si>
    <t>Usikker – følger spotpris minus påslag, kan endres av regelverk for plusskunder</t>
  </si>
  <si>
    <t>Utslippsfaktor nettstrøm</t>
  </si>
  <si>
    <t>Metodevalg – norsk produksjonsmiks ca. 0,01–0,03, europeisk miks 0,1–0,4 kg/kWh. Valgt verdi må dokumenteres</t>
  </si>
  <si>
    <t>BEREGNINGSFORUTSETNINGER</t>
  </si>
  <si>
    <t>Samtidighetsfaktor solstrøm (brukt direkte)</t>
  </si>
  <si>
    <t>Av produksjon</t>
  </si>
  <si>
    <t>±10 %-poeng – grovt anslag. Krever timesberegning for å bli nøyaktig</t>
  </si>
  <si>
    <t>Samtidighetsfaktor vindkraft (brukt direkte)</t>
  </si>
  <si>
    <t>±15 %-poeng – anslag. Vind produserer også om natten, derfor høyere enn for sol</t>
  </si>
  <si>
    <t>Referansescenario: alt varmebehov dekket med direkte elektrisk oppvarming, uten solceller, vindturbiner eller batteri.</t>
  </si>
  <si>
    <t>Samtidighetsfaktor angir hvor stor del av sol- og vindproduksjonen som forbrukes i sanntid. Resten går til batteri, deretter til nett.</t>
  </si>
  <si>
    <t>KNOTTEN – MÅNEDLIG ENERGIREGNSKAP</t>
  </si>
  <si>
    <t>30 boliger + kontorbygg og lager · solceller, vindturbiner, bergvarme og batterilagring · alle energitall i kWh</t>
  </si>
  <si>
    <t>Alle beregninger henter inndata fra fanen Forutsetninger. Endre inndata der – tabellen oppdateres automatisk. Profilkolonnene C–H kan skjules med +/- over kolonneheadingen.</t>
  </si>
  <si>
    <t>PERIODE</t>
  </si>
  <si>
    <t>FORDELINGSPROFIL</t>
  </si>
  <si>
    <t>ENERGIBEHOV OG VARMEDEKNING</t>
  </si>
  <si>
    <t>EGENPRODUKSJON SOL OG VIND</t>
  </si>
  <si>
    <t>LAGRING (BATTERI)</t>
  </si>
  <si>
    <t>NETTUTVEKSLING</t>
  </si>
  <si>
    <t>ØKONOMI OG KLIMA</t>
  </si>
  <si>
    <t>Måned</t>
  </si>
  <si>
    <t>Dager</t>
  </si>
  <si>
    <t>El %</t>
  </si>
  <si>
    <t>Varme %</t>
  </si>
  <si>
    <t>Sol %</t>
  </si>
  <si>
    <t>Vind %</t>
  </si>
  <si>
    <t>Bergvarme %</t>
  </si>
  <si>
    <t>Prisfaktor</t>
  </si>
  <si>
    <t>El-behov boliger</t>
  </si>
  <si>
    <t>El-behov kontor + lager</t>
  </si>
  <si>
    <t>Netto varmebehov</t>
  </si>
  <si>
    <t>Varme fra bergvarme</t>
  </si>
  <si>
    <t>El-forbruk bergvarme</t>
  </si>
  <si>
    <t>El til spisslast varme</t>
  </si>
  <si>
    <t>El til regenerering av berg</t>
  </si>
  <si>
    <t>Sum el-behov</t>
  </si>
  <si>
    <t>Produsert solstrøm</t>
  </si>
  <si>
    <t>Produsert vindkraft</t>
  </si>
  <si>
    <t>Sum egenproduksjon</t>
  </si>
  <si>
    <t>Direkte egenbruk</t>
  </si>
  <si>
    <t>Overskudd til lagring/salg</t>
  </si>
  <si>
    <t>Ladet inn</t>
  </si>
  <si>
    <t>Utladet til forbruk</t>
  </si>
  <si>
    <t>Lagringstap</t>
  </si>
  <si>
    <t>Kjøpt fra nett</t>
  </si>
  <si>
    <t>Solgt til nett</t>
  </si>
  <si>
    <t>Selvforsyningsgrad</t>
  </si>
  <si>
    <t>Strømkostnad (kr)</t>
  </si>
  <si>
    <t>Salgsinntekt (kr)</t>
  </si>
  <si>
    <t>Netto energikostnad (kr)</t>
  </si>
  <si>
    <t>Referanse uten tiltak (kr)</t>
  </si>
  <si>
    <t>Besparelse (kr)</t>
  </si>
  <si>
    <t>Spart CO₂ (kg)</t>
  </si>
  <si>
    <t>Januar</t>
  </si>
  <si>
    <t>Februar</t>
  </si>
  <si>
    <t>Mars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</si>
  <si>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</si>
  <si>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</si>
  <si>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</si>
  <si>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</si>
  <si>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</si>
  <si>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</si>
  <si>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</si>
  <si>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</si>
  <si>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Desember</t>
  </si>
  <si>
    <t>SUM ÅR</t>
  </si>
  <si>
    <t>NØKKELTALL FOR ÅRET</t>
  </si>
  <si>
    <t>Totalt el-behov (boliger, næringsbygg, bergvarme)</t>
  </si>
  <si>
    <t>kWh</t>
  </si>
  <si>
    <t>Egenprodusert energi (solstrøm + vindkraft)</t>
  </si>
  <si>
    <t>Lagret og gjenbrukt via batteri</t>
  </si>
  <si>
    <t>Strøm brukt til regenerering av berg</t>
  </si>
  <si>
    <t>Overskudd solgt til nett</t>
  </si>
  <si>
    <t>Selvforsyningsgrad strøm</t>
  </si>
  <si>
    <t>%</t>
  </si>
  <si>
    <t>Netto energikostnad</t>
  </si>
  <si>
    <t>kr/år</t>
  </si>
  <si>
    <t>Besparelse mot referanse</t>
  </si>
  <si>
    <t>Besparelse per bolig (forenklet fordeling)</t>
  </si>
  <si>
    <t>Spart CO₂</t>
  </si>
  <si>
    <t>kg/år</t>
  </si>
  <si>
    <t>DIAGRAMGRUNNLAG – ENERGIDEKNING PER MÅNED (kWh)</t>
  </si>
  <si>
    <t xml:space="preserve">Miljøvarme fra brønner </t>
  </si>
  <si>
    <t>Egenprodusert brukt direkte</t>
  </si>
  <si>
    <t>Egenprodusert via batteri</t>
  </si>
  <si>
    <t>Kjøpt strøm fra nett</t>
  </si>
  <si>
    <t>DIAGRAMGRUNNLAG – STRØMPRIS PER MÅNED (kr/kWh)</t>
  </si>
  <si>
    <t>Kjøpspris (spot + nettleie)</t>
  </si>
  <si>
    <t>Salgspris overskudd</t>
  </si>
  <si>
    <t>DIAGRAMGRUNNLAG – TOTALT ENERGIBILDE ÅRET (kWh)</t>
  </si>
  <si>
    <t>Kilde</t>
  </si>
  <si>
    <t>kWh/år</t>
  </si>
  <si>
    <t>brønner</t>
  </si>
  <si>
    <t>SUM (kontroll)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</si>
</sst>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.0%"/>
    <numFmt numFmtId="165" formatCode="#,##0;\(#,##0\);\-"/>
    <numFmt numFmtId="166" formatCode="#,##0&quot; kWh&quot;;\(#,##0&quot; kWh&quot;\);&quot;-&quot;"/>
    <numFmt numFmtId="167" formatCode="#,##0&quot; kr&quot;;\(#,##0&quot; kr&quot;\);&quot;-&quot;"/>
    <numFmt numFmtId="168" formatCode="#,##0&quot; kg&quot;;\(#,##0&quot; kg&quot;\);&quot;-&quot;"/>
    <numFmt numFmtId="169" formatCode="#,##0&quot; d&quot;"/>
    <numFmt numFmtId="170" formatCode="0.00&quot;×&quot;"/>
    <numFmt numFmtId="171" formatCode="#,##0&quot; stk&quot;"/>
    <numFmt numFmtId="172" formatCode="#,##0&quot; kWh/år&quot;"/>
    <numFmt numFmtId="173" formatCode="#,##0&quot; m²&quot;"/>
    <numFmt numFmtId="174" formatCode="#,##0.0&quot; kWp&quot;"/>
    <numFmt numFmtId="175" formatCode="#,##0&quot; kWh/kWp&quot;"/>
    <numFmt numFmtId="176" formatCode="#,##0.0&quot; kW&quot;"/>
    <numFmt numFmtId="177" formatCode="#,##0&quot; h/år&quot;"/>
    <numFmt numFmtId="178" formatCode="0.00&quot; kWh/kWh&quot;"/>
    <numFmt numFmtId="179" formatCode="#,##0.0&quot; kWh&quot;"/>
    <numFmt numFmtId="180" formatCode="#,##0&quot; kWh&quot;"/>
    <numFmt numFmtId="181" formatCode="0.0&quot; sykl./døgn&quot;"/>
    <numFmt numFmtId="182" formatCode="0.00&quot; kr/kWh&quot;"/>
    <numFmt numFmtId="183" formatCode="0.000&quot; kg/kWh&quot;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9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595959"/>
      <name val="Aptos Narrow"/>
      <scheme val="minor"/>
    </font>
    <font>
      <sz val="11"/>
      <color rgb="FF000000"/>
      <name val="Aptos Narrow"/>
      <scheme val="minor"/>
    </font>
    <font>
      <sz val="11"/>
      <color rgb="FF0000FF"/>
      <name val="Aptos Narrow"/>
      <scheme val="minor"/>
    </font>
    <font>
      <sz val="9"/>
      <color rgb="FF404040"/>
      <name val="Aptos Narrow"/>
      <scheme val="minor"/>
    </font>
    <font>
      <b/>
      <sz val="10"/>
      <color rgb="FFFFFF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auto="1"/>
      </right>
      <top/>
      <bottom/>
      <diagonal/>
    </border>
    <border>
      <left style="thin">
        <color auto="1"/>
      </left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BFBFBF"/>
      </right>
      <top style="thin">
        <color auto="1"/>
      </top>
      <bottom/>
      <diagonal/>
    </border>
    <border>
      <left style="thin">
        <color rgb="FFBFBFBF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164" fontId="6" fillId="0" borderId="0" xfId="0" applyNumberFormat="1" applyFont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0" fontId="7" fillId="0" borderId="0" xfId="0" applyFont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165" fontId="0" fillId="0" borderId="0" xfId="0" applyNumberFormat="1"/>
    <xf numFmtId="0" fontId="0" fillId="0" borderId="8" xfId="0" applyBorder="1" applyAlignment="1">
      <alignment horizontal="left"/>
    </xf>
    <xf numFmtId="164" fontId="0" fillId="0" borderId="9" xfId="0" applyNumberFormat="1" applyBorder="1"/>
    <xf numFmtId="0" fontId="0" fillId="11" borderId="8" xfId="0" applyFill="1" applyBorder="1" applyAlignment="1">
      <alignment horizontal="left"/>
    </xf>
    <xf numFmtId="164" fontId="0" fillId="11" borderId="9" xfId="0" applyNumberFormat="1" applyFill="1" applyBorder="1"/>
    <xf numFmtId="0" fontId="5" fillId="2" borderId="11" xfId="0" applyFont="1" applyFill="1" applyBorder="1"/>
    <xf numFmtId="164" fontId="5" fillId="2" borderId="12" xfId="0" applyNumberFormat="1" applyFont="1" applyFill="1" applyBorder="1"/>
    <xf numFmtId="0" fontId="8" fillId="10" borderId="11" xfId="0" applyFont="1" applyFill="1" applyBorder="1" applyAlignment="1">
      <alignment horizontal="center" wrapText="1"/>
    </xf>
    <xf numFmtId="0" fontId="8" fillId="10" borderId="12" xfId="0" applyFont="1" applyFill="1" applyBorder="1" applyAlignment="1">
      <alignment horizontal="center" wrapText="1"/>
    </xf>
    <xf numFmtId="0" fontId="8" fillId="10" borderId="13" xfId="0" applyFont="1" applyFill="1" applyBorder="1" applyAlignment="1">
      <alignment horizontal="center" wrapText="1"/>
    </xf>
    <xf numFmtId="0" fontId="0" fillId="0" borderId="7" xfId="0" applyBorder="1"/>
    <xf numFmtId="0" fontId="0" fillId="0" borderId="14" xfId="0" applyBorder="1"/>
    <xf numFmtId="164" fontId="1" fillId="0" borderId="1" xfId="0" applyNumberFormat="1" applyFont="1" applyBorder="1" applyAlignment="1">
      <alignment horizontal="right"/>
    </xf>
    <xf numFmtId="0" fontId="1" fillId="10" borderId="15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0" borderId="15" xfId="0" applyBorder="1"/>
    <xf numFmtId="0" fontId="1" fillId="10" borderId="0" xfId="0" applyFont="1" applyFill="1" applyAlignment="1">
      <alignment horizontal="center"/>
    </xf>
    <xf numFmtId="0" fontId="9" fillId="2" borderId="0" xfId="0" applyFont="1" applyFill="1"/>
    <xf numFmtId="0" fontId="1" fillId="10" borderId="18" xfId="0" applyFont="1" applyFill="1" applyBorder="1"/>
    <xf numFmtId="0" fontId="1" fillId="10" borderId="17" xfId="0" applyFont="1" applyFill="1" applyBorder="1"/>
    <xf numFmtId="3" fontId="3" fillId="0" borderId="0" xfId="0" applyNumberFormat="1" applyFont="1"/>
    <xf numFmtId="0" fontId="11" fillId="0" borderId="0" xfId="0" applyFont="1"/>
    <xf numFmtId="0" fontId="12" fillId="0" borderId="0" xfId="0" applyFont="1"/>
    <xf numFmtId="164" fontId="13" fillId="0" borderId="0" xfId="0" applyNumberFormat="1" applyFont="1"/>
    <xf numFmtId="0" fontId="14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0" fontId="15" fillId="7" borderId="0" xfId="0" applyFont="1" applyFill="1" applyAlignment="1">
      <alignment horizontal="left"/>
    </xf>
    <xf numFmtId="0" fontId="0" fillId="0" borderId="0" xfId="0" applyAlignment="1">
      <alignment wrapText="1"/>
    </xf>
    <xf numFmtId="0" fontId="1" fillId="10" borderId="9" xfId="0" applyFont="1" applyFill="1" applyBorder="1" applyAlignment="1">
      <alignment horizontal="center" wrapText="1"/>
    </xf>
    <xf numFmtId="0" fontId="1" fillId="10" borderId="16" xfId="0" applyFont="1" applyFill="1" applyBorder="1" applyAlignment="1">
      <alignment horizontal="center" wrapText="1"/>
    </xf>
    <xf numFmtId="0" fontId="1" fillId="10" borderId="0" xfId="0" applyFont="1" applyFill="1" applyAlignment="1">
      <alignment horizontal="center" wrapText="1"/>
    </xf>
    <xf numFmtId="166" fontId="0" fillId="0" borderId="9" xfId="0" applyNumberFormat="1" applyBorder="1"/>
    <xf numFmtId="166" fontId="0" fillId="11" borderId="9" xfId="0" applyNumberFormat="1" applyFill="1" applyBorder="1"/>
    <xf numFmtId="166" fontId="5" fillId="2" borderId="12" xfId="0" applyNumberFormat="1" applyFont="1" applyFill="1" applyBorder="1"/>
    <xf numFmtId="167" fontId="0" fillId="0" borderId="9" xfId="0" applyNumberFormat="1" applyBorder="1"/>
    <xf numFmtId="167" fontId="0" fillId="11" borderId="9" xfId="0" applyNumberFormat="1" applyFill="1" applyBorder="1"/>
    <xf numFmtId="167" fontId="5" fillId="2" borderId="12" xfId="0" applyNumberFormat="1" applyFont="1" applyFill="1" applyBorder="1"/>
    <xf numFmtId="168" fontId="0" fillId="0" borderId="10" xfId="0" applyNumberFormat="1" applyBorder="1"/>
    <xf numFmtId="168" fontId="0" fillId="11" borderId="10" xfId="0" applyNumberFormat="1" applyFill="1" applyBorder="1"/>
    <xf numFmtId="168" fontId="5" fillId="2" borderId="13" xfId="0" applyNumberFormat="1" applyFont="1" applyFill="1" applyBorder="1"/>
    <xf numFmtId="166" fontId="0" fillId="0" borderId="0" xfId="0" applyNumberFormat="1"/>
    <xf numFmtId="166" fontId="1" fillId="0" borderId="2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8" fontId="1" fillId="0" borderId="1" xfId="0" applyNumberFormat="1" applyFont="1" applyBorder="1" applyAlignment="1">
      <alignment horizontal="right"/>
    </xf>
    <xf numFmtId="169" fontId="0" fillId="0" borderId="9" xfId="0" applyNumberFormat="1" applyBorder="1"/>
    <xf numFmtId="169" fontId="0" fillId="11" borderId="9" xfId="0" applyNumberFormat="1" applyFill="1" applyBorder="1"/>
    <xf numFmtId="169" fontId="5" fillId="2" borderId="12" xfId="0" applyNumberFormat="1" applyFont="1" applyFill="1" applyBorder="1"/>
    <xf numFmtId="170" fontId="0" fillId="0" borderId="9" xfId="0" applyNumberFormat="1" applyBorder="1"/>
    <xf numFmtId="170" fontId="0" fillId="11" borderId="9" xfId="0" applyNumberFormat="1" applyFill="1" applyBorder="1"/>
    <xf numFmtId="170" fontId="5" fillId="2" borderId="12" xfId="0" applyNumberFormat="1" applyFont="1" applyFill="1" applyBorder="1"/>
    <xf numFmtId="171" fontId="6" fillId="0" borderId="0" xfId="0" applyNumberFormat="1" applyFont="1"/>
    <xf numFmtId="172" fontId="6" fillId="0" borderId="0" xfId="0" applyNumberFormat="1" applyFont="1"/>
    <xf numFmtId="172" fontId="6" fillId="12" borderId="0" xfId="0" applyNumberFormat="1" applyFont="1" applyFill="1"/>
    <xf numFmtId="172" fontId="0" fillId="0" borderId="0" xfId="0" applyNumberFormat="1"/>
    <xf numFmtId="172" fontId="1" fillId="10" borderId="18" xfId="0" applyNumberFormat="1" applyFont="1" applyFill="1" applyBorder="1"/>
    <xf numFmtId="173" fontId="6" fillId="0" borderId="0" xfId="0" applyNumberFormat="1" applyFont="1"/>
    <xf numFmtId="173" fontId="0" fillId="0" borderId="0" xfId="0" applyNumberFormat="1"/>
    <xf numFmtId="174" fontId="0" fillId="0" borderId="0" xfId="0" applyNumberFormat="1"/>
    <xf numFmtId="175" fontId="6" fillId="0" borderId="0" xfId="0" applyNumberFormat="1" applyFont="1"/>
    <xf numFmtId="175" fontId="3" fillId="0" borderId="0" xfId="0" applyNumberFormat="1" applyFont="1"/>
    <xf numFmtId="172" fontId="1" fillId="10" borderId="17" xfId="0" applyNumberFormat="1" applyFont="1" applyFill="1" applyBorder="1"/>
    <xf numFmtId="172" fontId="10" fillId="0" borderId="0" xfId="0" applyNumberFormat="1" applyFont="1"/>
    <xf numFmtId="176" fontId="6" fillId="0" borderId="0" xfId="0" applyNumberFormat="1" applyFont="1"/>
    <xf numFmtId="176" fontId="10" fillId="0" borderId="0" xfId="0" applyNumberFormat="1" applyFont="1"/>
    <xf numFmtId="177" fontId="3" fillId="0" borderId="0" xfId="0" applyNumberFormat="1" applyFont="1"/>
    <xf numFmtId="178" fontId="6" fillId="0" borderId="0" xfId="0" applyNumberFormat="1" applyFont="1"/>
    <xf numFmtId="179" fontId="6" fillId="0" borderId="0" xfId="0" applyNumberFormat="1" applyFont="1"/>
    <xf numFmtId="180" fontId="0" fillId="0" borderId="0" xfId="0" applyNumberFormat="1"/>
    <xf numFmtId="181" fontId="6" fillId="0" borderId="0" xfId="0" applyNumberFormat="1" applyFont="1"/>
    <xf numFmtId="182" fontId="6" fillId="0" borderId="0" xfId="0" applyNumberFormat="1" applyFont="1"/>
    <xf numFmtId="182" fontId="0" fillId="0" borderId="0" xfId="0" applyNumberFormat="1"/>
    <xf numFmtId="183" fontId="6" fillId="0" borderId="0" xfId="0" applyNumberFormat="1" applyFont="1"/>
    <xf numFmtId="0" fontId="1" fillId="0" borderId="0" xfId="0" applyFont="1"/>
    <xf numFmtId="166" fontId="1" fillId="0" borderId="0" xfId="0" applyNumberFormat="1" applyFont="1"/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5" borderId="21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5" fillId="2" borderId="4" xfId="0" applyFont="1" applyFill="1" applyBorder="1" applyAlignment="1"/>
    <xf numFmtId="0" fontId="5" fillId="2" borderId="0" xfId="0" applyFont="1" applyFill="1" applyAlignment="1"/>
    <xf numFmtId="0" fontId="5" fillId="2" borderId="6" xfId="0" applyFont="1" applyFill="1" applyBorder="1" applyAlignment="1"/>
    <xf numFmtId="0" fontId="0" fillId="0" borderId="3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Knotten – energidekning per måned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Energiregnskap!$B$34</c:f>
              <c:strCache>
                <c:ptCount val="1"/>
                <c:pt idx="0">
                  <c:v>Miljøvarme fra brønner 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Energiregnskap!$A$35:$A$46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Mars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Energiregnskap!$B$35:$B$46</c:f>
              <c:numCache>
                <c:formatCode>#,##0" kWh";\(#,##0" kWh"\);"-"</c:formatCode>
                <c:ptCount val="12"/>
                <c:pt idx="0">
                  <c:v>48750</c:v>
                </c:pt>
                <c:pt idx="1">
                  <c:v>42250</c:v>
                </c:pt>
                <c:pt idx="2">
                  <c:v>36100</c:v>
                </c:pt>
                <c:pt idx="3">
                  <c:v>28880</c:v>
                </c:pt>
                <c:pt idx="4">
                  <c:v>16250</c:v>
                </c:pt>
                <c:pt idx="5">
                  <c:v>6500</c:v>
                </c:pt>
                <c:pt idx="6">
                  <c:v>3250</c:v>
                </c:pt>
                <c:pt idx="7">
                  <c:v>6500</c:v>
                </c:pt>
                <c:pt idx="8">
                  <c:v>16250</c:v>
                </c:pt>
                <c:pt idx="9">
                  <c:v>28880</c:v>
                </c:pt>
                <c:pt idx="10">
                  <c:v>39000</c:v>
                </c:pt>
                <c:pt idx="11">
                  <c:v>48750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0-4CCF-A7F2-39D968C8C2CB}"/>
            </c:ext>
          </c:extLst>
        </c:ser>
        <c:ser>
          <c:idx val="1"/>
          <c:order val="1"/>
          <c:tx>
            <c:strRef>
              <c:f>Energiregnskap!$C$34</c:f>
              <c:strCache>
                <c:ptCount val="1"/>
                <c:pt idx="0">
                  <c:v>Egenprodusert brukt direkte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Energiregnskap!$A$35:$A$46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Mars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Energiregnskap!$C$35:$C$46</c:f>
              <c:numCache>
                <c:formatCode>#,##0" kWh";\(#,##0" kWh"\);"-"</c:formatCode>
                <c:ptCount val="12"/>
                <c:pt idx="0">
                  <c:v>3749.4359999999997</c:v>
                </c:pt>
                <c:pt idx="1">
                  <c:v>5445.6840000000002</c:v>
                </c:pt>
                <c:pt idx="2">
                  <c:v>10064.736000000001</c:v>
                </c:pt>
                <c:pt idx="3">
                  <c:v>13709.52</c:v>
                </c:pt>
                <c:pt idx="4">
                  <c:v>17102.016</c:v>
                </c:pt>
                <c:pt idx="5">
                  <c:v>16849.727999999999</c:v>
                </c:pt>
                <c:pt idx="6">
                  <c:v>15875.46</c:v>
                </c:pt>
                <c:pt idx="7">
                  <c:v>13204.944</c:v>
                </c:pt>
                <c:pt idx="8">
                  <c:v>10534.428</c:v>
                </c:pt>
                <c:pt idx="9">
                  <c:v>7141.9319999999998</c:v>
                </c:pt>
                <c:pt idx="10">
                  <c:v>4723.7039999999997</c:v>
                </c:pt>
                <c:pt idx="11">
                  <c:v>4254.0119999999997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0-4CCF-A7F2-39D968C8C2CB}"/>
            </c:ext>
          </c:extLst>
        </c:ser>
        <c:ser>
          <c:idx val="2"/>
          <c:order val="2"/>
          <c:tx>
            <c:strRef>
              <c:f>Energiregnskap!$D$34</c:f>
              <c:strCache>
                <c:ptCount val="1"/>
                <c:pt idx="0">
                  <c:v>Egenprodusert via batteri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Energiregnskap!$A$35:$A$46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Mars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Energiregnskap!$D$35:$D$46</c:f>
              <c:numCache>
                <c:formatCode>#,##0" kWh";\(#,##0" kWh"\);"-"</c:formatCode>
                <c:ptCount val="12"/>
                <c:pt idx="0">
                  <c:v>2980.3626000000004</c:v>
                </c:pt>
                <c:pt idx="1">
                  <c:v>5459.5133999999998</c:v>
                </c:pt>
                <c:pt idx="2">
                  <c:v>11718</c:v>
                </c:pt>
                <c:pt idx="3">
                  <c:v>11340</c:v>
                </c:pt>
                <c:pt idx="4">
                  <c:v>11718</c:v>
                </c:pt>
                <c:pt idx="5">
                  <c:v>9062.7720000000008</c:v>
                </c:pt>
                <c:pt idx="6">
                  <c:v>7239.5400000000009</c:v>
                </c:pt>
                <c:pt idx="7">
                  <c:v>10560.056</c:v>
                </c:pt>
                <c:pt idx="8">
                  <c:v>11340</c:v>
                </c:pt>
                <c:pt idx="9">
                  <c:v>7938.6642000000011</c:v>
                </c:pt>
                <c:pt idx="10">
                  <c:v>4295.6243999999997</c:v>
                </c:pt>
                <c:pt idx="11">
                  <c:v>3283.1082000000001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0-4CCF-A7F2-39D968C8C2CB}"/>
            </c:ext>
          </c:extLst>
        </c:ser>
        <c:ser>
          <c:idx val="3"/>
          <c:order val="3"/>
          <c:tx>
            <c:strRef>
              <c:f>Energiregnskap!$E$34</c:f>
              <c:strCache>
                <c:ptCount val="1"/>
                <c:pt idx="0">
                  <c:v>Kjøpt strøm fra nett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Energiregnskap!$A$35:$A$46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Mars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Energiregnskap!$E$35:$E$46</c:f>
              <c:numCache>
                <c:formatCode>#,##0" kWh";\(#,##0" kWh"\);"-"</c:formatCode>
                <c:ptCount val="12"/>
                <c:pt idx="0">
                  <c:v>37822.701399999998</c:v>
                </c:pt>
                <c:pt idx="1">
                  <c:v>30199.802599999999</c:v>
                </c:pt>
                <c:pt idx="2">
                  <c:v>21972.263999999996</c:v>
                </c:pt>
                <c:pt idx="3">
                  <c:v>11877.98</c:v>
                </c:pt>
                <c:pt idx="4">
                  <c:v>2189.9840000000004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7735.5720000000001</c:v>
                </c:pt>
                <c:pt idx="9">
                  <c:v>20446.9038</c:v>
                </c:pt>
                <c:pt idx="10">
                  <c:v>30635.671600000001</c:v>
                </c:pt>
                <c:pt idx="11">
                  <c:v>35667.879799999995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0-4CCF-A7F2-39D968C8C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8382352"/>
        <c:axId val="1607935984"/>
      </c:barChart>
      <c:catAx>
        <c:axId val="17783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07935984"/>
        <c:crosses val="autoZero"/>
        <c:auto val="1"/>
        <c:lblAlgn val="ctr"/>
        <c:lblOffset val="100"/>
        <c:noMultiLvlLbl val="0"/>
      </c:catAx>
      <c:valAx>
        <c:axId val="16079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&quot; kWh&quot;;\(#,##0&quot; kWh&quot;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7838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Strømpris per måned (kr/kWh)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Energiregnskap!$B$58</c:f>
              <c:strCache>
                <c:ptCount val="1"/>
                <c:pt idx="0">
                  <c:v>Kjøpspris (spot + nettleie)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Energiregnskap!$A$59:$A$70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Mars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Energiregnskap!$B$59:$B$70</c:f>
              <c:numCache>
                <c:formatCode>0.00" kr/kWh"</c:formatCode>
                <c:ptCount val="12"/>
                <c:pt idx="0">
                  <c:v>2.7</c:v>
                </c:pt>
                <c:pt idx="1">
                  <c:v>2.6</c:v>
                </c:pt>
                <c:pt idx="2">
                  <c:v>2.4</c:v>
                </c:pt>
                <c:pt idx="3">
                  <c:v>2.1</c:v>
                </c:pt>
                <c:pt idx="4">
                  <c:v>1.8</c:v>
                </c:pt>
                <c:pt idx="5">
                  <c:v>1.6</c:v>
                </c:pt>
                <c:pt idx="6">
                  <c:v>1.5</c:v>
                </c:pt>
                <c:pt idx="7">
                  <c:v>1.6600000000000001</c:v>
                </c:pt>
                <c:pt idx="8">
                  <c:v>1.86</c:v>
                </c:pt>
                <c:pt idx="9">
                  <c:v>2.1</c:v>
                </c:pt>
                <c:pt idx="10">
                  <c:v>2.38</c:v>
                </c:pt>
                <c:pt idx="11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E-4F12-99D5-F4E45053FC0A}"/>
            </c:ext>
          </c:extLst>
        </c:ser>
        <c:ser>
          <c:idx val="1"/>
          <c:order val="1"/>
          <c:tx>
            <c:strRef>
              <c:f>Energiregnskap!$C$58</c:f>
              <c:strCache>
                <c:ptCount val="1"/>
                <c:pt idx="0">
                  <c:v>Salgspris overskudd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Energiregnskap!$A$59:$A$70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Mars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Energiregnskap!$C$59:$C$70</c:f>
              <c:numCache>
                <c:formatCode>0.00" kr/kWh"</c:formatCode>
                <c:ptCount val="12"/>
                <c:pt idx="0">
                  <c:v>0.97500000000000009</c:v>
                </c:pt>
                <c:pt idx="1">
                  <c:v>0.9375</c:v>
                </c:pt>
                <c:pt idx="2">
                  <c:v>0.86249999999999993</c:v>
                </c:pt>
                <c:pt idx="3">
                  <c:v>0.75</c:v>
                </c:pt>
                <c:pt idx="4">
                  <c:v>0.63749999999999996</c:v>
                </c:pt>
                <c:pt idx="5">
                  <c:v>0.5625</c:v>
                </c:pt>
                <c:pt idx="6">
                  <c:v>0.52499999999999991</c:v>
                </c:pt>
                <c:pt idx="7">
                  <c:v>0.58499999999999996</c:v>
                </c:pt>
                <c:pt idx="8">
                  <c:v>0.66</c:v>
                </c:pt>
                <c:pt idx="9">
                  <c:v>0.75</c:v>
                </c:pt>
                <c:pt idx="10">
                  <c:v>0.85499999999999998</c:v>
                </c:pt>
                <c:pt idx="11">
                  <c:v>0.89999999999999991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3E-4F12-99D5-F4E45053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545343"/>
        <c:axId val="391958607"/>
      </c:lineChart>
      <c:catAx>
        <c:axId val="80854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91958607"/>
        <c:crosses val="autoZero"/>
        <c:auto val="1"/>
        <c:lblAlgn val="ctr"/>
        <c:lblOffset val="100"/>
        <c:noMultiLvlLbl val="0"/>
      </c:catAx>
      <c:valAx>
        <c:axId val="3919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kr/kWh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&quot; kr/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0854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Totalt energibilde året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4-4ED8-A5D9-FC214A43DE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4-4ED8-A5D9-FC214A43DE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C4-4ED8-A5D9-FC214A43DE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C4-4ED8-A5D9-FC214A43D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Energiregnskap!$A$74:$A$77</c:f>
              <c:strCache>
                <c:ptCount val="4"/>
                <c:pt idx="0">
                  <c:v>brønner</c:v>
                </c:pt>
                <c:pt idx="1">
                  <c:v>Egenprodusert brukt direkte</c:v>
                </c:pt>
                <c:pt idx="2">
                  <c:v>Egenprodusert via batteri</c:v>
                </c:pt>
                <c:pt idx="3">
                  <c:v>Kjøpt strøm fra nett</c:v>
                </c:pt>
              </c:strCache>
            </c:strRef>
          </c:cat>
          <c:val>
            <c:numRef>
              <c:f>Energiregnskap!$B$74:$B$77</c:f>
              <c:numCache>
                <c:formatCode>#,##0" kWh";\(#,##0" kWh"\);"-"</c:formatCode>
                <c:ptCount val="4"/>
                <c:pt idx="0">
                  <c:v>321360</c:v>
                </c:pt>
                <c:pt idx="1">
                  <c:v>122655.60000000002</c:v>
                </c:pt>
                <c:pt idx="2">
                  <c:v>96935.640800000008</c:v>
                </c:pt>
                <c:pt idx="3">
                  <c:v>198548.75919999997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B-4CA7-A205-82FBB943C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642096</xdr:colOff>
      <xdr:row>23</xdr:row>
      <xdr:rowOff>46526</xdr:rowOff>
    </xdr:from>
    <xdr:to>
      <xdr:col>24</xdr:col>
      <xdr:colOff>642098</xdr:colOff>
      <xdr:row>47</xdr:row>
      <xdr:rowOff>46527</xdr:rowOff>
    </xdr:to>
    <xdr:graphicFrame macro="">
      <xdr:nvGraphicFramePr>
        <xdr:cNvPr id="2" name="EnergidekningPerManed">
          <a:extLst>
            <a:ext uri="{FF2B5EF4-FFF2-40B4-BE49-F238E27FC236}">
              <a16:creationId xmlns:a16="http://schemas.microsoft.com/office/drawing/2014/main" id="{5669E446-6EC7-2ED6-70E9-0B7D3ACF9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13</xdr:col>
      <xdr:colOff>0</xdr:colOff>
      <xdr:row>71</xdr:row>
      <xdr:rowOff>0</xdr:rowOff>
    </xdr:to>
    <xdr:graphicFrame macro="">
      <xdr:nvGraphicFramePr>
        <xdr:cNvPr id="3" name="StromprisChart">
          <a:extLst>
            <a:ext uri="{FF2B5EF4-FFF2-40B4-BE49-F238E27FC236}">
              <a16:creationId xmlns:a16="http://schemas.microsoft.com/office/drawing/2014/main" id="{44C50040-FB06-8D03-E2C3-1E524E253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71</xdr:row>
      <xdr:rowOff>180974</xdr:rowOff>
    </xdr:from>
    <xdr:to>
      <xdr:col>13</xdr:col>
      <xdr:colOff>0</xdr:colOff>
      <xdr:row>89</xdr:row>
      <xdr:rowOff>180974</xdr:rowOff>
    </xdr:to>
    <xdr:graphicFrame macro="">
      <xdr:nvGraphicFramePr>
        <xdr:cNvPr id="4" name="EnergibildeChart">
          <a:extLst>
            <a:ext uri="{FF2B5EF4-FFF2-40B4-BE49-F238E27FC236}">
              <a16:creationId xmlns:a16="http://schemas.microsoft.com/office/drawing/2014/main" id="{AA310423-2C8B-1E29-018F-33BA03785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348545-825E-4DA9-8923-9326EC92B1D5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efa1a782-705d-4532-95b4-847ac65f489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168D-F3C8-462B-8F8C-C451C2FA8D88}">
  <dimension ref="A1:D69"/>
  <sheetViews>
    <sheetView tabSelected="1" zoomScale="51" workbookViewId="0">
      <selection activeCell="C2" sqref="C2"/>
    </sheetView>
  </sheetViews>
  <sheetFormatPr defaultRowHeight="14.25"/>
  <cols>
    <col min="1" max="1" width="76.85546875" bestFit="1" customWidth="1"/>
    <col min="2" max="2" width="17.28515625" customWidth="1"/>
    <col min="3" max="3" width="26.85546875" bestFit="1" customWidth="1"/>
    <col min="4" max="4" width="46.140625" customWidth="1"/>
    <col min="5" max="5" width="21.28515625" customWidth="1"/>
  </cols>
  <sheetData>
    <row r="1" spans="1:4" ht="21">
      <c r="A1" s="1" t="s">
        <v>0</v>
      </c>
    </row>
    <row r="2" spans="1:4">
      <c r="A2" s="2" t="s">
        <v>1</v>
      </c>
    </row>
    <row r="3" spans="1:4">
      <c r="A3" s="3" t="s">
        <v>2</v>
      </c>
    </row>
    <row r="5" spans="1:4" ht="15.75">
      <c r="A5" s="35" t="s">
        <v>3</v>
      </c>
      <c r="B5" s="5" t="s">
        <v>4</v>
      </c>
      <c r="C5" s="4" t="s">
        <v>5</v>
      </c>
      <c r="D5" s="43" t="s">
        <v>6</v>
      </c>
    </row>
    <row r="6" spans="1:4">
      <c r="A6" t="s">
        <v>7</v>
      </c>
      <c r="B6" s="73">
        <v>30</v>
      </c>
      <c r="D6" s="42" t="s">
        <v>8</v>
      </c>
    </row>
    <row r="7" spans="1:4">
      <c r="A7" t="s">
        <v>9</v>
      </c>
      <c r="B7" s="74">
        <v>7000</v>
      </c>
      <c r="D7" s="42" t="s">
        <v>10</v>
      </c>
    </row>
    <row r="8" spans="1:4">
      <c r="A8" t="s">
        <v>11</v>
      </c>
      <c r="B8" s="74">
        <v>15000</v>
      </c>
      <c r="D8" s="42" t="s">
        <v>10</v>
      </c>
    </row>
    <row r="9" spans="1:4">
      <c r="A9" t="s">
        <v>12</v>
      </c>
      <c r="B9" s="75">
        <v>37500</v>
      </c>
      <c r="D9" s="42" t="s">
        <v>13</v>
      </c>
    </row>
    <row r="10" spans="1:4">
      <c r="A10" t="s">
        <v>14</v>
      </c>
      <c r="B10" s="75">
        <v>22000</v>
      </c>
      <c r="D10" s="42" t="s">
        <v>15</v>
      </c>
    </row>
    <row r="11" spans="1:4">
      <c r="A11" t="s">
        <v>16</v>
      </c>
      <c r="B11" s="76">
        <f>B9+B10</f>
        <v>59500</v>
      </c>
      <c r="D11" s="42" t="s">
        <v>17</v>
      </c>
    </row>
    <row r="12" spans="1:4">
      <c r="A12" t="s">
        <v>18</v>
      </c>
      <c r="B12" s="76">
        <f>B6*B7</f>
        <v>210000</v>
      </c>
      <c r="D12" s="42" t="s">
        <v>17</v>
      </c>
    </row>
    <row r="13" spans="1:4">
      <c r="A13" t="s">
        <v>19</v>
      </c>
      <c r="B13" s="76">
        <f>B6*B8</f>
        <v>450000</v>
      </c>
      <c r="D13" s="42" t="s">
        <v>17</v>
      </c>
    </row>
    <row r="14" spans="1:4" ht="14.65" thickBot="1">
      <c r="A14" s="36" t="s">
        <v>20</v>
      </c>
      <c r="B14" s="77">
        <f>B11+B12+B13</f>
        <v>719500</v>
      </c>
      <c r="C14" s="36"/>
      <c r="D14" s="42" t="s">
        <v>21</v>
      </c>
    </row>
    <row r="15" spans="1:4" ht="14.65" thickTop="1">
      <c r="D15" s="42"/>
    </row>
    <row r="16" spans="1:4">
      <c r="A16" s="6" t="s">
        <v>22</v>
      </c>
      <c r="B16" s="7" t="s">
        <v>4</v>
      </c>
      <c r="C16" s="6" t="s">
        <v>5</v>
      </c>
      <c r="D16" s="44" t="s">
        <v>6</v>
      </c>
    </row>
    <row r="17" spans="1:4">
      <c r="A17" t="s">
        <v>23</v>
      </c>
      <c r="B17" s="78">
        <v>30</v>
      </c>
      <c r="D17" s="42" t="s">
        <v>24</v>
      </c>
    </row>
    <row r="18" spans="1:4">
      <c r="A18" t="s">
        <v>25</v>
      </c>
      <c r="B18" s="78">
        <v>300</v>
      </c>
      <c r="D18" s="42" t="s">
        <v>26</v>
      </c>
    </row>
    <row r="19" spans="1:4">
      <c r="A19" t="s">
        <v>27</v>
      </c>
      <c r="B19" s="79">
        <f>B6*B17+B18</f>
        <v>1200</v>
      </c>
      <c r="D19" s="42" t="s">
        <v>28</v>
      </c>
    </row>
    <row r="20" spans="1:4" ht="24">
      <c r="A20" t="s">
        <v>29</v>
      </c>
      <c r="B20" s="10">
        <v>0.75</v>
      </c>
      <c r="C20" t="s">
        <v>30</v>
      </c>
      <c r="D20" s="42" t="s">
        <v>31</v>
      </c>
    </row>
    <row r="21" spans="1:4">
      <c r="A21" t="s">
        <v>32</v>
      </c>
      <c r="B21" s="79">
        <f>B19*B20</f>
        <v>900</v>
      </c>
      <c r="D21" s="42" t="s">
        <v>28</v>
      </c>
    </row>
    <row r="22" spans="1:4" ht="24">
      <c r="A22" t="s">
        <v>33</v>
      </c>
      <c r="B22" s="10">
        <v>0.31</v>
      </c>
      <c r="C22" t="s">
        <v>34</v>
      </c>
      <c r="D22" s="42" t="s">
        <v>35</v>
      </c>
    </row>
    <row r="23" spans="1:4">
      <c r="A23" t="s">
        <v>36</v>
      </c>
      <c r="B23" s="80">
        <f>B21*B22</f>
        <v>279</v>
      </c>
      <c r="C23" t="s">
        <v>37</v>
      </c>
      <c r="D23" s="42" t="s">
        <v>28</v>
      </c>
    </row>
    <row r="24" spans="1:4" ht="24">
      <c r="A24" t="s">
        <v>38</v>
      </c>
      <c r="B24" s="81">
        <v>970</v>
      </c>
      <c r="D24" s="42" t="s">
        <v>39</v>
      </c>
    </row>
    <row r="25" spans="1:4">
      <c r="A25" t="s">
        <v>40</v>
      </c>
      <c r="B25" s="10">
        <v>0.9</v>
      </c>
      <c r="C25" t="s">
        <v>41</v>
      </c>
      <c r="D25" s="42" t="s">
        <v>42</v>
      </c>
    </row>
    <row r="26" spans="1:4" ht="14.65" thickBot="1">
      <c r="A26" s="37" t="s">
        <v>43</v>
      </c>
      <c r="B26" s="83">
        <f>B23*B24*B25</f>
        <v>243567</v>
      </c>
      <c r="C26" s="37"/>
      <c r="D26" s="42" t="s">
        <v>44</v>
      </c>
    </row>
    <row r="27" spans="1:4" ht="14.65" thickTop="1">
      <c r="A27" s="2" t="s">
        <v>45</v>
      </c>
      <c r="B27" s="82">
        <f>B26/B23</f>
        <v>873</v>
      </c>
      <c r="C27" s="2"/>
      <c r="D27" s="42" t="s">
        <v>46</v>
      </c>
    </row>
    <row r="28" spans="1:4">
      <c r="D28" s="42"/>
    </row>
    <row r="29" spans="1:4">
      <c r="A29" s="6" t="s">
        <v>47</v>
      </c>
      <c r="B29" s="7" t="s">
        <v>4</v>
      </c>
      <c r="C29" s="6" t="s">
        <v>5</v>
      </c>
      <c r="D29" s="44" t="s">
        <v>6</v>
      </c>
    </row>
    <row r="30" spans="1:4">
      <c r="A30" t="s">
        <v>48</v>
      </c>
      <c r="B30" s="73">
        <v>3</v>
      </c>
      <c r="D30" s="42" t="s">
        <v>49</v>
      </c>
    </row>
    <row r="31" spans="1:4">
      <c r="A31" t="s">
        <v>50</v>
      </c>
      <c r="B31" s="85">
        <v>8</v>
      </c>
      <c r="D31" s="42" t="s">
        <v>51</v>
      </c>
    </row>
    <row r="32" spans="1:4">
      <c r="A32" t="s">
        <v>52</v>
      </c>
      <c r="B32" s="86">
        <f>B30*B31</f>
        <v>24</v>
      </c>
      <c r="D32" s="42" t="s">
        <v>28</v>
      </c>
    </row>
    <row r="33" spans="1:4">
      <c r="A33" t="s">
        <v>53</v>
      </c>
      <c r="B33" s="10">
        <v>0.25</v>
      </c>
      <c r="C33" t="s">
        <v>54</v>
      </c>
      <c r="D33" s="42" t="s">
        <v>55</v>
      </c>
    </row>
    <row r="34" spans="1:4">
      <c r="A34" t="s">
        <v>56</v>
      </c>
      <c r="B34" s="10">
        <v>0.8</v>
      </c>
      <c r="C34" t="s">
        <v>57</v>
      </c>
      <c r="D34" s="42" t="s">
        <v>58</v>
      </c>
    </row>
    <row r="35" spans="1:4">
      <c r="A35" t="s">
        <v>59</v>
      </c>
      <c r="B35" s="84">
        <f>B32*8760*B33*B34</f>
        <v>42048</v>
      </c>
      <c r="D35" s="42" t="s">
        <v>60</v>
      </c>
    </row>
    <row r="36" spans="1:4">
      <c r="A36" s="39" t="s">
        <v>61</v>
      </c>
      <c r="B36" s="87">
        <f>B35/B32</f>
        <v>1752</v>
      </c>
      <c r="C36" s="2"/>
      <c r="D36" s="42" t="s">
        <v>62</v>
      </c>
    </row>
    <row r="37" spans="1:4">
      <c r="D37" s="42"/>
    </row>
    <row r="38" spans="1:4">
      <c r="A38" s="8" t="s">
        <v>63</v>
      </c>
      <c r="B38" s="9" t="s">
        <v>4</v>
      </c>
      <c r="C38" s="8" t="s">
        <v>5</v>
      </c>
      <c r="D38" s="45" t="s">
        <v>6</v>
      </c>
    </row>
    <row r="39" spans="1:4" ht="24">
      <c r="A39" t="s">
        <v>64</v>
      </c>
      <c r="B39" s="75">
        <v>20000</v>
      </c>
      <c r="C39" s="49" t="s">
        <v>65</v>
      </c>
      <c r="D39" s="42" t="s">
        <v>66</v>
      </c>
    </row>
    <row r="40" spans="1:4" ht="24">
      <c r="A40" t="s">
        <v>67</v>
      </c>
      <c r="B40" s="88">
        <v>3</v>
      </c>
      <c r="C40" s="49" t="s">
        <v>68</v>
      </c>
      <c r="D40" s="42" t="s">
        <v>69</v>
      </c>
    </row>
    <row r="41" spans="1:4">
      <c r="A41" t="s">
        <v>70</v>
      </c>
      <c r="B41" s="84">
        <f>B39*B40</f>
        <v>60000</v>
      </c>
      <c r="C41" s="49"/>
      <c r="D41" s="42" t="s">
        <v>28</v>
      </c>
    </row>
    <row r="42" spans="1:4" ht="24">
      <c r="A42" t="s">
        <v>71</v>
      </c>
      <c r="B42" s="10">
        <v>0.6</v>
      </c>
      <c r="C42" s="49" t="s">
        <v>72</v>
      </c>
      <c r="D42" s="42" t="s">
        <v>73</v>
      </c>
    </row>
    <row r="43" spans="1:4">
      <c r="A43" t="s">
        <v>74</v>
      </c>
      <c r="B43" s="84">
        <f>B41*B42</f>
        <v>36000</v>
      </c>
      <c r="C43" s="49"/>
      <c r="D43" s="42" t="s">
        <v>75</v>
      </c>
    </row>
    <row r="44" spans="1:4">
      <c r="D44" s="42"/>
    </row>
    <row r="45" spans="1:4">
      <c r="A45" s="8" t="s">
        <v>76</v>
      </c>
      <c r="B45" s="9" t="s">
        <v>4</v>
      </c>
      <c r="C45" s="8" t="s">
        <v>5</v>
      </c>
      <c r="D45" s="45" t="s">
        <v>6</v>
      </c>
    </row>
    <row r="46" spans="1:4" ht="36.75" customHeight="1">
      <c r="A46" t="s">
        <v>77</v>
      </c>
      <c r="B46" s="75">
        <v>325000</v>
      </c>
      <c r="C46" s="49" t="s">
        <v>78</v>
      </c>
      <c r="D46" s="42" t="s">
        <v>79</v>
      </c>
    </row>
    <row r="47" spans="1:4" ht="24">
      <c r="A47" t="s">
        <v>80</v>
      </c>
      <c r="B47" s="88">
        <v>3.6</v>
      </c>
      <c r="C47" t="s">
        <v>81</v>
      </c>
      <c r="D47" s="42" t="s">
        <v>82</v>
      </c>
    </row>
    <row r="48" spans="1:4" ht="21.4" customHeight="1">
      <c r="A48" t="s">
        <v>83</v>
      </c>
      <c r="B48" s="84">
        <f>(B46+B43)*B47/(B47-1)</f>
        <v>499846.15384615381</v>
      </c>
      <c r="C48" t="s">
        <v>84</v>
      </c>
      <c r="D48" s="42" t="s">
        <v>85</v>
      </c>
    </row>
    <row r="49" spans="1:4">
      <c r="A49" s="2"/>
      <c r="B49" s="38"/>
      <c r="C49" s="2"/>
      <c r="D49" s="42"/>
    </row>
    <row r="50" spans="1:4">
      <c r="D50" s="42"/>
    </row>
    <row r="51" spans="1:4">
      <c r="A51" s="11" t="s">
        <v>86</v>
      </c>
      <c r="B51" s="12" t="s">
        <v>4</v>
      </c>
      <c r="C51" s="11" t="s">
        <v>5</v>
      </c>
      <c r="D51" s="46" t="s">
        <v>6</v>
      </c>
    </row>
    <row r="52" spans="1:4">
      <c r="A52" t="s">
        <v>87</v>
      </c>
      <c r="B52" s="89">
        <v>14</v>
      </c>
      <c r="D52" s="42" t="s">
        <v>88</v>
      </c>
    </row>
    <row r="53" spans="1:4">
      <c r="A53" t="s">
        <v>89</v>
      </c>
      <c r="B53" s="90">
        <f>B6*B52</f>
        <v>420</v>
      </c>
      <c r="D53" s="42" t="s">
        <v>28</v>
      </c>
    </row>
    <row r="54" spans="1:4">
      <c r="A54" t="s">
        <v>90</v>
      </c>
      <c r="B54" s="10">
        <v>0.9</v>
      </c>
      <c r="C54" t="s">
        <v>91</v>
      </c>
      <c r="D54" s="42" t="s">
        <v>92</v>
      </c>
    </row>
    <row r="55" spans="1:4">
      <c r="A55" t="s">
        <v>93</v>
      </c>
      <c r="B55" s="91">
        <v>1</v>
      </c>
      <c r="D55" s="42" t="s">
        <v>94</v>
      </c>
    </row>
    <row r="56" spans="1:4">
      <c r="D56" s="42"/>
    </row>
    <row r="57" spans="1:4">
      <c r="A57" s="13" t="s">
        <v>95</v>
      </c>
      <c r="B57" s="14" t="s">
        <v>4</v>
      </c>
      <c r="C57" s="13" t="s">
        <v>5</v>
      </c>
      <c r="D57" s="47" t="s">
        <v>6</v>
      </c>
    </row>
    <row r="58" spans="1:4" ht="24">
      <c r="A58" t="s">
        <v>96</v>
      </c>
      <c r="B58" s="92">
        <v>2</v>
      </c>
      <c r="D58" s="42" t="s">
        <v>97</v>
      </c>
    </row>
    <row r="59" spans="1:4">
      <c r="A59" t="s">
        <v>98</v>
      </c>
      <c r="B59" s="92">
        <v>0.1</v>
      </c>
      <c r="D59" s="42" t="s">
        <v>99</v>
      </c>
    </row>
    <row r="60" spans="1:4">
      <c r="A60" t="s">
        <v>100</v>
      </c>
      <c r="B60" s="93">
        <f>B58+B59</f>
        <v>2.1</v>
      </c>
      <c r="D60" s="42" t="s">
        <v>28</v>
      </c>
    </row>
    <row r="61" spans="1:4" ht="24">
      <c r="A61" t="s">
        <v>101</v>
      </c>
      <c r="B61" s="92">
        <v>0.75</v>
      </c>
      <c r="D61" s="42" t="s">
        <v>102</v>
      </c>
    </row>
    <row r="62" spans="1:4" ht="24">
      <c r="A62" t="s">
        <v>103</v>
      </c>
      <c r="B62" s="94">
        <v>0.2</v>
      </c>
      <c r="D62" s="42" t="s">
        <v>104</v>
      </c>
    </row>
    <row r="63" spans="1:4">
      <c r="D63" s="42"/>
    </row>
    <row r="64" spans="1:4">
      <c r="A64" s="16" t="s">
        <v>105</v>
      </c>
      <c r="B64" s="17" t="s">
        <v>4</v>
      </c>
      <c r="C64" s="16" t="s">
        <v>5</v>
      </c>
      <c r="D64" s="48" t="s">
        <v>6</v>
      </c>
    </row>
    <row r="65" spans="1:4">
      <c r="A65" t="s">
        <v>106</v>
      </c>
      <c r="B65" s="10">
        <v>0.4</v>
      </c>
      <c r="C65" t="s">
        <v>107</v>
      </c>
      <c r="D65" s="42" t="s">
        <v>108</v>
      </c>
    </row>
    <row r="66" spans="1:4" ht="24">
      <c r="A66" s="40" t="s">
        <v>109</v>
      </c>
      <c r="B66" s="41">
        <v>0.6</v>
      </c>
      <c r="C66" s="40" t="s">
        <v>107</v>
      </c>
      <c r="D66" s="42" t="s">
        <v>110</v>
      </c>
    </row>
    <row r="68" spans="1:4">
      <c r="A68" s="15" t="s">
        <v>111</v>
      </c>
    </row>
    <row r="69" spans="1:4">
      <c r="A69" s="15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F269-B36F-4F55-B7E8-69DB930E6AE5}">
  <dimension ref="A1:AG78"/>
  <sheetViews>
    <sheetView topLeftCell="B70" zoomScale="74" zoomScaleNormal="59" workbookViewId="0">
      <selection activeCell="A74" sqref="A74"/>
    </sheetView>
  </sheetViews>
  <sheetFormatPr defaultRowHeight="14.25" outlineLevelCol="1"/>
  <cols>
    <col min="1" max="1" width="132.42578125" bestFit="1" customWidth="1"/>
    <col min="2" max="2" width="24.7109375" customWidth="1"/>
    <col min="3" max="3" width="13.28515625" customWidth="1" outlineLevel="1"/>
    <col min="4" max="4" width="12.7109375" customWidth="1" outlineLevel="1"/>
    <col min="5" max="5" width="11.42578125" customWidth="1" outlineLevel="1"/>
    <col min="6" max="6" width="14.5703125" customWidth="1" outlineLevel="1"/>
    <col min="7" max="8" width="8.140625" customWidth="1" outlineLevel="1"/>
    <col min="9" max="33" width="13.140625" customWidth="1"/>
  </cols>
  <sheetData>
    <row r="1" spans="1:33" ht="21">
      <c r="A1" s="1" t="s">
        <v>113</v>
      </c>
    </row>
    <row r="2" spans="1:33">
      <c r="A2" s="2" t="s">
        <v>114</v>
      </c>
    </row>
    <row r="3" spans="1:33">
      <c r="A3" s="3" t="s">
        <v>115</v>
      </c>
    </row>
    <row r="5" spans="1:33">
      <c r="A5" s="110" t="s">
        <v>116</v>
      </c>
      <c r="B5" s="111"/>
      <c r="C5" s="118" t="s">
        <v>117</v>
      </c>
      <c r="D5" s="119"/>
      <c r="E5" s="119"/>
      <c r="F5" s="119"/>
      <c r="G5" s="119"/>
      <c r="H5" s="120"/>
      <c r="I5" s="112" t="s">
        <v>118</v>
      </c>
      <c r="J5" s="113"/>
      <c r="K5" s="113"/>
      <c r="L5" s="113"/>
      <c r="M5" s="113"/>
      <c r="N5" s="113"/>
      <c r="O5" s="113"/>
      <c r="P5" s="114"/>
      <c r="Q5" s="115" t="s">
        <v>119</v>
      </c>
      <c r="R5" s="116"/>
      <c r="S5" s="116"/>
      <c r="T5" s="116"/>
      <c r="U5" s="117"/>
      <c r="V5" s="104" t="s">
        <v>120</v>
      </c>
      <c r="W5" s="105"/>
      <c r="X5" s="106"/>
      <c r="Y5" s="107" t="s">
        <v>121</v>
      </c>
      <c r="Z5" s="108"/>
      <c r="AA5" s="109"/>
      <c r="AB5" s="99" t="s">
        <v>122</v>
      </c>
      <c r="AC5" s="100"/>
      <c r="AD5" s="100"/>
      <c r="AE5" s="100"/>
      <c r="AF5" s="100"/>
      <c r="AG5" s="101"/>
    </row>
    <row r="6" spans="1:33" ht="46.15" customHeight="1">
      <c r="A6" s="25" t="s">
        <v>123</v>
      </c>
      <c r="B6" s="26" t="s">
        <v>124</v>
      </c>
      <c r="C6" s="26" t="s">
        <v>125</v>
      </c>
      <c r="D6" s="26" t="s">
        <v>126</v>
      </c>
      <c r="E6" s="26" t="s">
        <v>127</v>
      </c>
      <c r="F6" s="26" t="s">
        <v>128</v>
      </c>
      <c r="G6" s="26" t="s">
        <v>129</v>
      </c>
      <c r="H6" s="26" t="s">
        <v>130</v>
      </c>
      <c r="I6" s="26" t="s">
        <v>131</v>
      </c>
      <c r="J6" s="26" t="s">
        <v>132</v>
      </c>
      <c r="K6" s="26" t="s">
        <v>133</v>
      </c>
      <c r="L6" s="26" t="s">
        <v>134</v>
      </c>
      <c r="M6" s="26" t="s">
        <v>135</v>
      </c>
      <c r="N6" s="26" t="s">
        <v>136</v>
      </c>
      <c r="O6" s="26" t="s">
        <v>137</v>
      </c>
      <c r="P6" s="26" t="s">
        <v>138</v>
      </c>
      <c r="Q6" s="26" t="s">
        <v>139</v>
      </c>
      <c r="R6" s="26" t="s">
        <v>140</v>
      </c>
      <c r="S6" s="26" t="s">
        <v>141</v>
      </c>
      <c r="T6" s="26" t="s">
        <v>142</v>
      </c>
      <c r="U6" s="26" t="s">
        <v>143</v>
      </c>
      <c r="V6" s="26" t="s">
        <v>144</v>
      </c>
      <c r="W6" s="26" t="s">
        <v>145</v>
      </c>
      <c r="X6" s="26" t="s">
        <v>146</v>
      </c>
      <c r="Y6" s="26" t="s">
        <v>147</v>
      </c>
      <c r="Z6" s="26" t="s">
        <v>148</v>
      </c>
      <c r="AA6" s="26" t="s">
        <v>149</v>
      </c>
      <c r="AB6" s="26" t="s">
        <v>150</v>
      </c>
      <c r="AC6" s="26" t="s">
        <v>151</v>
      </c>
      <c r="AD6" s="26" t="s">
        <v>152</v>
      </c>
      <c r="AE6" s="26" t="s">
        <v>153</v>
      </c>
      <c r="AF6" s="26" t="s">
        <v>154</v>
      </c>
      <c r="AG6" s="27" t="s">
        <v>155</v>
      </c>
    </row>
    <row r="7" spans="1:33">
      <c r="A7" s="19" t="s">
        <v>156</v>
      </c>
      <c r="B7" s="67">
        <v>31</v>
      </c>
      <c r="C7" s="20">
        <v>9.5000000000000001E-2</v>
      </c>
      <c r="D7" s="20">
        <v>0.15</v>
      </c>
      <c r="E7" s="20">
        <v>0.01</v>
      </c>
      <c r="F7" s="20">
        <v>0.11</v>
      </c>
      <c r="G7" s="20">
        <v>0.14000000000000001</v>
      </c>
      <c r="H7" s="70">
        <v>1.3</v>
      </c>
      <c r="I7" s="53">
        <f>Forutsetninger!$B$12*C7</f>
        <v>19950</v>
      </c>
      <c r="J7" s="53">
        <f>Forutsetninger!$B$11*C7</f>
        <v>5652.5</v>
      </c>
      <c r="K7" s="53">
        <f>Forutsetninger!$B$13*D7</f>
        <v>67500</v>
      </c>
      <c r="L7" s="53">
        <f>MIN(K7,Forutsetninger!$B$48*G7)</f>
        <v>67500</v>
      </c>
      <c r="M7" s="53">
        <f>L7/Forutsetninger!$B$47</f>
        <v>18750</v>
      </c>
      <c r="N7" s="53">
        <f>K7-L7</f>
        <v>0</v>
      </c>
      <c r="O7" s="53">
        <f>Forutsetninger!$B$39*E7</f>
        <v>200</v>
      </c>
      <c r="P7" s="53">
        <f>I7+J7+M7+N7+O7</f>
        <v>44552.5</v>
      </c>
      <c r="Q7" s="53">
        <f>Forutsetninger!$B$26*E7</f>
        <v>2435.67</v>
      </c>
      <c r="R7" s="53">
        <f>Forutsetninger!$B$35*F7</f>
        <v>4625.28</v>
      </c>
      <c r="S7" s="53">
        <f>Q7+R7</f>
        <v>7060.95</v>
      </c>
      <c r="T7" s="53">
        <f>MIN(Q7*Forutsetninger!$B$65+R7*Forutsetninger!$B$66,P7)</f>
        <v>3749.4359999999997</v>
      </c>
      <c r="U7" s="53">
        <f>S7-T7</f>
        <v>3311.5140000000001</v>
      </c>
      <c r="V7" s="53">
        <f>MIN(U7,(P7-T7)/Forutsetninger!$B$54,Forutsetninger!$B$53*Forutsetninger!$B$55*B7)</f>
        <v>3311.5140000000001</v>
      </c>
      <c r="W7" s="53">
        <f>V7*Forutsetninger!$B$54</f>
        <v>2980.3626000000004</v>
      </c>
      <c r="X7" s="53">
        <f>V7-W7</f>
        <v>331.15139999999974</v>
      </c>
      <c r="Y7" s="53">
        <f>P7-T7-W7</f>
        <v>37822.701399999998</v>
      </c>
      <c r="Z7" s="53">
        <f>U7-V7</f>
        <v>0</v>
      </c>
      <c r="AA7" s="20">
        <f>(T7+W7)/P7</f>
        <v>0.15105322035800461</v>
      </c>
      <c r="AB7" s="56">
        <f>Y7*(Forutsetninger!$B$58*H7+Forutsetninger!$B$59)</f>
        <v>102121.29378000001</v>
      </c>
      <c r="AC7" s="56">
        <f>Z7*Forutsetninger!$B$61*H7</f>
        <v>0</v>
      </c>
      <c r="AD7" s="56">
        <f>AB7-AC7</f>
        <v>102121.29378000001</v>
      </c>
      <c r="AE7" s="56">
        <f>(I7+J7+K7)*(Forutsetninger!$B$58*H7+Forutsetninger!$B$59)</f>
        <v>251376.75000000003</v>
      </c>
      <c r="AF7" s="56">
        <f>AE7-AD7</f>
        <v>149255.45622000002</v>
      </c>
      <c r="AG7" s="59">
        <f>(I7+J7+K7-Y7)*Forutsetninger!$B$62</f>
        <v>11055.959720000001</v>
      </c>
    </row>
    <row r="8" spans="1:33">
      <c r="A8" s="21" t="s">
        <v>157</v>
      </c>
      <c r="B8" s="68">
        <v>28</v>
      </c>
      <c r="C8" s="22">
        <v>0.09</v>
      </c>
      <c r="D8" s="22">
        <v>0.13</v>
      </c>
      <c r="E8" s="22">
        <v>0.03</v>
      </c>
      <c r="F8" s="22">
        <v>0.1</v>
      </c>
      <c r="G8" s="22">
        <v>0.12</v>
      </c>
      <c r="H8" s="71">
        <v>1.25</v>
      </c>
      <c r="I8" s="54">
        <f>Forutsetninger!$B$12*C8</f>
        <v>18900</v>
      </c>
      <c r="J8" s="54">
        <f>Forutsetninger!$B$11*C8</f>
        <v>5355</v>
      </c>
      <c r="K8" s="54">
        <f>Forutsetninger!$B$13*D8</f>
        <v>58500</v>
      </c>
      <c r="L8" s="54">
        <f>MIN(K8,Forutsetninger!$B$48*G8)</f>
        <v>58500</v>
      </c>
      <c r="M8" s="54">
        <f>L8/Forutsetninger!$B$47</f>
        <v>16250</v>
      </c>
      <c r="N8" s="54">
        <f t="shared" ref="N8:N18" si="0">K8-L8</f>
        <v>0</v>
      </c>
      <c r="O8" s="54">
        <f>Forutsetninger!$B$39*E8</f>
        <v>600</v>
      </c>
      <c r="P8" s="54">
        <f t="shared" ref="P8:P18" si="1">I8+J8+M8+N8+O8</f>
        <v>41105</v>
      </c>
      <c r="Q8" s="54">
        <f>Forutsetninger!$B$26*E8</f>
        <v>7307.0099999999993</v>
      </c>
      <c r="R8" s="54">
        <f>Forutsetninger!$B$35*F8</f>
        <v>4204.8</v>
      </c>
      <c r="S8" s="54">
        <f t="shared" ref="S8:S18" si="2">Q8+R8</f>
        <v>11511.81</v>
      </c>
      <c r="T8" s="54">
        <f>MIN(Q8*Forutsetninger!$B$65+R8*Forutsetninger!$B$66,P8)</f>
        <v>5445.6840000000002</v>
      </c>
      <c r="U8" s="54">
        <f t="shared" ref="U8:U18" si="3">S8-T8</f>
        <v>6066.1259999999993</v>
      </c>
      <c r="V8" s="54">
        <f>MIN(U8,(P8-T8)/Forutsetninger!$B$54,Forutsetninger!$B$53*Forutsetninger!$B$55*B8)</f>
        <v>6066.1259999999993</v>
      </c>
      <c r="W8" s="54">
        <f>V8*Forutsetninger!$B$54</f>
        <v>5459.5133999999998</v>
      </c>
      <c r="X8" s="54">
        <f t="shared" ref="X8:X18" si="4">V8-W8</f>
        <v>606.61259999999947</v>
      </c>
      <c r="Y8" s="54">
        <f t="shared" ref="Y8:Y18" si="5">P8-T8-W8</f>
        <v>30199.802599999999</v>
      </c>
      <c r="Z8" s="54">
        <f t="shared" ref="Z8:Z18" si="6">U8-V8</f>
        <v>0</v>
      </c>
      <c r="AA8" s="22">
        <f t="shared" ref="AA8:AA18" si="7">(T8+W8)/P8</f>
        <v>0.26530099501277221</v>
      </c>
      <c r="AB8" s="57">
        <f>Y8*(Forutsetninger!$B$58*H8+Forutsetninger!$B$59)</f>
        <v>78519.48676</v>
      </c>
      <c r="AC8" s="57">
        <f>Z8*Forutsetninger!$B$61*H8</f>
        <v>0</v>
      </c>
      <c r="AD8" s="57">
        <f t="shared" ref="AD8:AD18" si="8">AB8-AC8</f>
        <v>78519.48676</v>
      </c>
      <c r="AE8" s="57">
        <f>(I8+J8+K8)*(Forutsetninger!$B$58*H8+Forutsetninger!$B$59)</f>
        <v>215163</v>
      </c>
      <c r="AF8" s="57">
        <f t="shared" ref="AF8:AF18" si="9">AE8-AD8</f>
        <v>136643.51324</v>
      </c>
      <c r="AG8" s="60">
        <f>(I8+J8+K8-Y8)*Forutsetninger!$B$62</f>
        <v>10511.039480000001</v>
      </c>
    </row>
    <row r="9" spans="1:33">
      <c r="A9" s="19" t="s">
        <v>158</v>
      </c>
      <c r="B9" s="67">
        <v>31</v>
      </c>
      <c r="C9" s="20">
        <v>0.09</v>
      </c>
      <c r="D9" s="20">
        <v>0.12</v>
      </c>
      <c r="E9" s="20">
        <v>0.08</v>
      </c>
      <c r="F9" s="20">
        <v>0.09</v>
      </c>
      <c r="G9" s="20">
        <v>0.1</v>
      </c>
      <c r="H9" s="70">
        <v>1.1499999999999999</v>
      </c>
      <c r="I9" s="53">
        <f>Forutsetninger!$B$12*C9</f>
        <v>18900</v>
      </c>
      <c r="J9" s="53">
        <f>Forutsetninger!$B$11*C9</f>
        <v>5355</v>
      </c>
      <c r="K9" s="53">
        <f>Forutsetninger!$B$13*D9</f>
        <v>54000</v>
      </c>
      <c r="L9" s="53">
        <f>MIN(K9,Forutsetninger!$B$48*G9)</f>
        <v>49984.615384615383</v>
      </c>
      <c r="M9" s="53">
        <f>L9/Forutsetninger!$B$47</f>
        <v>13884.615384615383</v>
      </c>
      <c r="N9" s="53">
        <f t="shared" si="0"/>
        <v>4015.3846153846171</v>
      </c>
      <c r="O9" s="53">
        <f>Forutsetninger!$B$39*E9</f>
        <v>1600</v>
      </c>
      <c r="P9" s="53">
        <f t="shared" si="1"/>
        <v>43755</v>
      </c>
      <c r="Q9" s="53">
        <f>Forutsetninger!$B$26*E9</f>
        <v>19485.36</v>
      </c>
      <c r="R9" s="53">
        <f>Forutsetninger!$B$35*F9</f>
        <v>3784.3199999999997</v>
      </c>
      <c r="S9" s="53">
        <f t="shared" si="2"/>
        <v>23269.68</v>
      </c>
      <c r="T9" s="53">
        <f>MIN(Q9*Forutsetninger!$B$65+R9*Forutsetninger!$B$66,P9)</f>
        <v>10064.736000000001</v>
      </c>
      <c r="U9" s="53">
        <f t="shared" si="3"/>
        <v>13204.944</v>
      </c>
      <c r="V9" s="53">
        <f>MIN(U9,(P9-T9)/Forutsetninger!$B$54,Forutsetninger!$B$53*Forutsetninger!$B$55*B9)</f>
        <v>13020</v>
      </c>
      <c r="W9" s="53">
        <f>V9*Forutsetninger!$B$54</f>
        <v>11718</v>
      </c>
      <c r="X9" s="53">
        <f t="shared" si="4"/>
        <v>1302</v>
      </c>
      <c r="Y9" s="53">
        <f t="shared" si="5"/>
        <v>21972.263999999996</v>
      </c>
      <c r="Z9" s="53">
        <f t="shared" si="6"/>
        <v>184.94399999999951</v>
      </c>
      <c r="AA9" s="20">
        <f t="shared" si="7"/>
        <v>0.49783421323277344</v>
      </c>
      <c r="AB9" s="56">
        <f>Y9*(Forutsetninger!$B$58*H9+Forutsetninger!$B$59)</f>
        <v>52733.433599999989</v>
      </c>
      <c r="AC9" s="56">
        <f>Z9*Forutsetninger!$B$61*H9</f>
        <v>159.51419999999956</v>
      </c>
      <c r="AD9" s="56">
        <f t="shared" si="8"/>
        <v>52573.919399999992</v>
      </c>
      <c r="AE9" s="56">
        <f>(I9+J9+K9)*(Forutsetninger!$B$58*H9+Forutsetninger!$B$59)</f>
        <v>187812</v>
      </c>
      <c r="AF9" s="56">
        <f t="shared" si="9"/>
        <v>135238.08060000002</v>
      </c>
      <c r="AG9" s="59">
        <f>(I9+J9+K9-Y9)*Forutsetninger!$B$62</f>
        <v>11256.547200000001</v>
      </c>
    </row>
    <row r="10" spans="1:33">
      <c r="A10" s="21" t="s">
        <v>159</v>
      </c>
      <c r="B10" s="68">
        <v>30</v>
      </c>
      <c r="C10" s="22">
        <v>8.5000000000000006E-2</v>
      </c>
      <c r="D10" s="22">
        <v>0.09</v>
      </c>
      <c r="E10" s="22">
        <v>0.12</v>
      </c>
      <c r="F10" s="22">
        <v>0.08</v>
      </c>
      <c r="G10" s="22">
        <v>0.08</v>
      </c>
      <c r="H10" s="71">
        <v>1</v>
      </c>
      <c r="I10" s="54">
        <f>Forutsetninger!$B$12*C10</f>
        <v>17850</v>
      </c>
      <c r="J10" s="54">
        <f>Forutsetninger!$B$11*C10</f>
        <v>5057.5</v>
      </c>
      <c r="K10" s="54">
        <f>Forutsetninger!$B$13*D10</f>
        <v>40500</v>
      </c>
      <c r="L10" s="54">
        <f>MIN(K10,Forutsetninger!$B$48*G10)</f>
        <v>39987.692307692305</v>
      </c>
      <c r="M10" s="54">
        <f>L10/Forutsetninger!$B$47</f>
        <v>11107.692307692307</v>
      </c>
      <c r="N10" s="54">
        <f t="shared" si="0"/>
        <v>512.30769230769511</v>
      </c>
      <c r="O10" s="54">
        <f>Forutsetninger!$B$39*E10</f>
        <v>2400</v>
      </c>
      <c r="P10" s="54">
        <f t="shared" si="1"/>
        <v>36927.5</v>
      </c>
      <c r="Q10" s="54">
        <f>Forutsetninger!$B$26*E10</f>
        <v>29228.039999999997</v>
      </c>
      <c r="R10" s="54">
        <f>Forutsetninger!$B$35*F10</f>
        <v>3363.84</v>
      </c>
      <c r="S10" s="54">
        <f t="shared" si="2"/>
        <v>32591.879999999997</v>
      </c>
      <c r="T10" s="54">
        <f>MIN(Q10*Forutsetninger!$B$65+R10*Forutsetninger!$B$66,P10)</f>
        <v>13709.52</v>
      </c>
      <c r="U10" s="54">
        <f t="shared" si="3"/>
        <v>18882.359999999997</v>
      </c>
      <c r="V10" s="54">
        <f>MIN(U10,(P10-T10)/Forutsetninger!$B$54,Forutsetninger!$B$53*Forutsetninger!$B$55*B10)</f>
        <v>12600</v>
      </c>
      <c r="W10" s="54">
        <f>V10*Forutsetninger!$B$54</f>
        <v>11340</v>
      </c>
      <c r="X10" s="54">
        <f t="shared" si="4"/>
        <v>1260</v>
      </c>
      <c r="Y10" s="54">
        <f t="shared" si="5"/>
        <v>11877.98</v>
      </c>
      <c r="Z10" s="54">
        <f t="shared" si="6"/>
        <v>6282.3599999999969</v>
      </c>
      <c r="AA10" s="22">
        <f t="shared" si="7"/>
        <v>0.67834324013269243</v>
      </c>
      <c r="AB10" s="57">
        <f>Y10*(Forutsetninger!$B$58*H10+Forutsetninger!$B$59)</f>
        <v>24943.758000000002</v>
      </c>
      <c r="AC10" s="57">
        <f>Z10*Forutsetninger!$B$61*H10</f>
        <v>4711.7699999999977</v>
      </c>
      <c r="AD10" s="57">
        <f t="shared" si="8"/>
        <v>20231.988000000005</v>
      </c>
      <c r="AE10" s="57">
        <f>(I10+J10+K10)*(Forutsetninger!$B$58*H10+Forutsetninger!$B$59)</f>
        <v>133155.75</v>
      </c>
      <c r="AF10" s="57">
        <f t="shared" si="9"/>
        <v>112923.76199999999</v>
      </c>
      <c r="AG10" s="60">
        <f>(I10+J10+K10-Y10)*Forutsetninger!$B$62</f>
        <v>10305.904000000002</v>
      </c>
    </row>
    <row r="11" spans="1:33">
      <c r="A11" s="19" t="s">
        <v>160</v>
      </c>
      <c r="B11" s="67">
        <v>31</v>
      </c>
      <c r="C11" s="20">
        <v>0.08</v>
      </c>
      <c r="D11" s="20">
        <v>0.05</v>
      </c>
      <c r="E11" s="20">
        <v>0.16</v>
      </c>
      <c r="F11" s="20">
        <v>0.06</v>
      </c>
      <c r="G11" s="20">
        <v>0.06</v>
      </c>
      <c r="H11" s="70">
        <v>0.85</v>
      </c>
      <c r="I11" s="53">
        <f>Forutsetninger!$B$12*C11</f>
        <v>16800</v>
      </c>
      <c r="J11" s="53">
        <f>Forutsetninger!$B$11*C11</f>
        <v>4760</v>
      </c>
      <c r="K11" s="53">
        <f>Forutsetninger!$B$13*D11</f>
        <v>22500</v>
      </c>
      <c r="L11" s="53">
        <f>MIN(K11,Forutsetninger!$B$48*G11)</f>
        <v>22500</v>
      </c>
      <c r="M11" s="53">
        <f>L11/Forutsetninger!$B$47</f>
        <v>6250</v>
      </c>
      <c r="N11" s="53">
        <f t="shared" si="0"/>
        <v>0</v>
      </c>
      <c r="O11" s="53">
        <f>Forutsetninger!$B$39*E11</f>
        <v>3200</v>
      </c>
      <c r="P11" s="53">
        <f t="shared" si="1"/>
        <v>31010</v>
      </c>
      <c r="Q11" s="53">
        <f>Forutsetninger!$B$26*E11</f>
        <v>38970.720000000001</v>
      </c>
      <c r="R11" s="53">
        <f>Forutsetninger!$B$35*F11</f>
        <v>2522.88</v>
      </c>
      <c r="S11" s="53">
        <f t="shared" si="2"/>
        <v>41493.599999999999</v>
      </c>
      <c r="T11" s="53">
        <f>MIN(Q11*Forutsetninger!$B$65+R11*Forutsetninger!$B$66,P11)</f>
        <v>17102.016</v>
      </c>
      <c r="U11" s="53">
        <f t="shared" si="3"/>
        <v>24391.583999999999</v>
      </c>
      <c r="V11" s="53">
        <f>MIN(U11,(P11-T11)/Forutsetninger!$B$54,Forutsetninger!$B$53*Forutsetninger!$B$55*B11)</f>
        <v>13020</v>
      </c>
      <c r="W11" s="53">
        <f>V11*Forutsetninger!$B$54</f>
        <v>11718</v>
      </c>
      <c r="X11" s="53">
        <f t="shared" si="4"/>
        <v>1302</v>
      </c>
      <c r="Y11" s="53">
        <f t="shared" si="5"/>
        <v>2189.9840000000004</v>
      </c>
      <c r="Z11" s="53">
        <f t="shared" si="6"/>
        <v>11371.583999999999</v>
      </c>
      <c r="AA11" s="20">
        <f t="shared" si="7"/>
        <v>0.92937813608513387</v>
      </c>
      <c r="AB11" s="56">
        <f>Y11*(Forutsetninger!$B$58*H11+Forutsetninger!$B$59)</f>
        <v>3941.9712000000009</v>
      </c>
      <c r="AC11" s="56">
        <f>Z11*Forutsetninger!$B$61*H11</f>
        <v>7249.384799999998</v>
      </c>
      <c r="AD11" s="56">
        <f t="shared" si="8"/>
        <v>-3307.4135999999971</v>
      </c>
      <c r="AE11" s="56">
        <f>(I11+J11+K11)*(Forutsetninger!$B$58*H11+Forutsetninger!$B$59)</f>
        <v>79308</v>
      </c>
      <c r="AF11" s="56">
        <f t="shared" si="9"/>
        <v>82615.4136</v>
      </c>
      <c r="AG11" s="59">
        <f>(I11+J11+K11-Y11)*Forutsetninger!$B$62</f>
        <v>8374.003200000001</v>
      </c>
    </row>
    <row r="12" spans="1:33">
      <c r="A12" s="21" t="s">
        <v>161</v>
      </c>
      <c r="B12" s="68">
        <v>30</v>
      </c>
      <c r="C12" s="22">
        <v>7.4999999999999997E-2</v>
      </c>
      <c r="D12" s="22">
        <v>0.02</v>
      </c>
      <c r="E12" s="22">
        <v>0.16</v>
      </c>
      <c r="F12" s="22">
        <v>0.05</v>
      </c>
      <c r="G12" s="22">
        <v>0.04</v>
      </c>
      <c r="H12" s="71">
        <v>0.75</v>
      </c>
      <c r="I12" s="54">
        <f>Forutsetninger!$B$12*C12</f>
        <v>15750</v>
      </c>
      <c r="J12" s="54">
        <f>Forutsetninger!$B$11*C12</f>
        <v>4462.5</v>
      </c>
      <c r="K12" s="54">
        <f>Forutsetninger!$B$13*D12</f>
        <v>9000</v>
      </c>
      <c r="L12" s="54">
        <f>MIN(K12,Forutsetninger!$B$48*G12)</f>
        <v>9000</v>
      </c>
      <c r="M12" s="54">
        <f>L12/Forutsetninger!$B$47</f>
        <v>2500</v>
      </c>
      <c r="N12" s="54">
        <f t="shared" si="0"/>
        <v>0</v>
      </c>
      <c r="O12" s="54">
        <f>Forutsetninger!$B$39*E12</f>
        <v>3200</v>
      </c>
      <c r="P12" s="54">
        <f t="shared" si="1"/>
        <v>25912.5</v>
      </c>
      <c r="Q12" s="54">
        <f>Forutsetninger!$B$26*E12</f>
        <v>38970.720000000001</v>
      </c>
      <c r="R12" s="54">
        <f>Forutsetninger!$B$35*F12</f>
        <v>2102.4</v>
      </c>
      <c r="S12" s="54">
        <f t="shared" si="2"/>
        <v>41073.120000000003</v>
      </c>
      <c r="T12" s="54">
        <f>MIN(Q12*Forutsetninger!$B$65+R12*Forutsetninger!$B$66,P12)</f>
        <v>16849.727999999999</v>
      </c>
      <c r="U12" s="54">
        <f t="shared" si="3"/>
        <v>24223.392000000003</v>
      </c>
      <c r="V12" s="54">
        <f>MIN(U12,(P12-T12)/Forutsetninger!$B$54,Forutsetninger!$B$53*Forutsetninger!$B$55*B12)</f>
        <v>10069.746666666668</v>
      </c>
      <c r="W12" s="54">
        <f>V12*Forutsetninger!$B$54</f>
        <v>9062.7720000000008</v>
      </c>
      <c r="X12" s="54">
        <f t="shared" si="4"/>
        <v>1006.974666666667</v>
      </c>
      <c r="Y12" s="54">
        <f t="shared" si="5"/>
        <v>0</v>
      </c>
      <c r="Z12" s="54">
        <f t="shared" si="6"/>
        <v>14153.645333333336</v>
      </c>
      <c r="AA12" s="22">
        <f t="shared" si="7"/>
        <v>1</v>
      </c>
      <c r="AB12" s="57">
        <f>Y12*(Forutsetninger!$B$58*H12+Forutsetninger!$B$59)</f>
        <v>0</v>
      </c>
      <c r="AC12" s="57">
        <f>Z12*Forutsetninger!$B$61*H12</f>
        <v>7961.4255000000012</v>
      </c>
      <c r="AD12" s="57">
        <f t="shared" si="8"/>
        <v>-7961.4255000000012</v>
      </c>
      <c r="AE12" s="57">
        <f>(I12+J12+K12)*(Forutsetninger!$B$58*H12+Forutsetninger!$B$59)</f>
        <v>46740</v>
      </c>
      <c r="AF12" s="57">
        <f t="shared" si="9"/>
        <v>54701.425499999998</v>
      </c>
      <c r="AG12" s="60">
        <f>(I12+J12+K12-Y12)*Forutsetninger!$B$62</f>
        <v>5842.5</v>
      </c>
    </row>
    <row r="13" spans="1:33">
      <c r="A13" s="19" t="s">
        <v>162</v>
      </c>
      <c r="B13" s="67">
        <v>31</v>
      </c>
      <c r="C13" s="20">
        <v>7.0000000000000007E-2</v>
      </c>
      <c r="D13" s="20">
        <v>0.01</v>
      </c>
      <c r="E13" s="20">
        <v>0.15</v>
      </c>
      <c r="F13" s="20">
        <v>0.05</v>
      </c>
      <c r="G13" s="20">
        <v>0.03</v>
      </c>
      <c r="H13" s="70">
        <v>0.7</v>
      </c>
      <c r="I13" s="53">
        <f>Forutsetninger!$B$12*C13</f>
        <v>14700.000000000002</v>
      </c>
      <c r="J13" s="53">
        <f>Forutsetninger!$B$11*C13</f>
        <v>4165</v>
      </c>
      <c r="K13" s="53">
        <f>Forutsetninger!$B$13*D13</f>
        <v>4500</v>
      </c>
      <c r="L13" s="53">
        <f>MIN(K13,Forutsetninger!$B$48*G13)</f>
        <v>4500</v>
      </c>
      <c r="M13" s="53">
        <f>L13/Forutsetninger!$B$47</f>
        <v>1250</v>
      </c>
      <c r="N13" s="53">
        <f t="shared" si="0"/>
        <v>0</v>
      </c>
      <c r="O13" s="53">
        <f>Forutsetninger!$B$39*E13</f>
        <v>3000</v>
      </c>
      <c r="P13" s="53">
        <f t="shared" si="1"/>
        <v>23115</v>
      </c>
      <c r="Q13" s="53">
        <f>Forutsetninger!$B$26*E13</f>
        <v>36535.049999999996</v>
      </c>
      <c r="R13" s="53">
        <f>Forutsetninger!$B$35*F13</f>
        <v>2102.4</v>
      </c>
      <c r="S13" s="53">
        <f t="shared" si="2"/>
        <v>38637.449999999997</v>
      </c>
      <c r="T13" s="53">
        <f>MIN(Q13*Forutsetninger!$B$65+R13*Forutsetninger!$B$66,P13)</f>
        <v>15875.46</v>
      </c>
      <c r="U13" s="53">
        <f t="shared" si="3"/>
        <v>22761.989999999998</v>
      </c>
      <c r="V13" s="53">
        <f>MIN(U13,(P13-T13)/Forutsetninger!$B$54,Forutsetninger!$B$53*Forutsetninger!$B$55*B13)</f>
        <v>8043.9333333333343</v>
      </c>
      <c r="W13" s="53">
        <f>V13*Forutsetninger!$B$54</f>
        <v>7239.5400000000009</v>
      </c>
      <c r="X13" s="53">
        <f t="shared" si="4"/>
        <v>804.39333333333343</v>
      </c>
      <c r="Y13" s="53">
        <f t="shared" si="5"/>
        <v>0</v>
      </c>
      <c r="Z13" s="53">
        <f t="shared" si="6"/>
        <v>14718.056666666664</v>
      </c>
      <c r="AA13" s="20">
        <f t="shared" si="7"/>
        <v>1</v>
      </c>
      <c r="AB13" s="56">
        <f>Y13*(Forutsetninger!$B$58*H13+Forutsetninger!$B$59)</f>
        <v>0</v>
      </c>
      <c r="AC13" s="56">
        <f>Z13*Forutsetninger!$B$61*H13</f>
        <v>7726.9797499999977</v>
      </c>
      <c r="AD13" s="56">
        <f t="shared" si="8"/>
        <v>-7726.9797499999977</v>
      </c>
      <c r="AE13" s="56">
        <f>(I13+J13+K13)*(Forutsetninger!$B$58*H13+Forutsetninger!$B$59)</f>
        <v>35047.5</v>
      </c>
      <c r="AF13" s="56">
        <f t="shared" si="9"/>
        <v>42774.479749999999</v>
      </c>
      <c r="AG13" s="59">
        <f>(I13+J13+K13-Y13)*Forutsetninger!$B$62</f>
        <v>4673</v>
      </c>
    </row>
    <row r="14" spans="1:33">
      <c r="A14" s="21" t="s">
        <v>163</v>
      </c>
      <c r="B14" s="68">
        <v>31</v>
      </c>
      <c r="C14" s="22">
        <v>7.0000000000000007E-2</v>
      </c>
      <c r="D14" s="22">
        <v>0.02</v>
      </c>
      <c r="E14" s="22">
        <v>0.12</v>
      </c>
      <c r="F14" s="22">
        <v>0.06</v>
      </c>
      <c r="G14" s="22">
        <v>0.04</v>
      </c>
      <c r="H14" s="71">
        <v>0.78</v>
      </c>
      <c r="I14" s="54">
        <f>Forutsetninger!$B$12*C14</f>
        <v>14700.000000000002</v>
      </c>
      <c r="J14" s="54">
        <f>Forutsetninger!$B$11*C14</f>
        <v>4165</v>
      </c>
      <c r="K14" s="54">
        <f>Forutsetninger!$B$13*D14</f>
        <v>9000</v>
      </c>
      <c r="L14" s="54">
        <f>MIN(K14,Forutsetninger!$B$48*G14)</f>
        <v>9000</v>
      </c>
      <c r="M14" s="54">
        <f>L14/Forutsetninger!$B$47</f>
        <v>2500</v>
      </c>
      <c r="N14" s="54">
        <f t="shared" si="0"/>
        <v>0</v>
      </c>
      <c r="O14" s="54">
        <f>Forutsetninger!$B$39*E14</f>
        <v>2400</v>
      </c>
      <c r="P14" s="54">
        <f t="shared" si="1"/>
        <v>23765</v>
      </c>
      <c r="Q14" s="54">
        <f>Forutsetninger!$B$26*E14</f>
        <v>29228.039999999997</v>
      </c>
      <c r="R14" s="54">
        <f>Forutsetninger!$B$35*F14</f>
        <v>2522.88</v>
      </c>
      <c r="S14" s="54">
        <f t="shared" si="2"/>
        <v>31750.92</v>
      </c>
      <c r="T14" s="54">
        <f>MIN(Q14*Forutsetninger!$B$65+R14*Forutsetninger!$B$66,P14)</f>
        <v>13204.944</v>
      </c>
      <c r="U14" s="54">
        <f t="shared" si="3"/>
        <v>18545.975999999999</v>
      </c>
      <c r="V14" s="54">
        <f>MIN(U14,(P14-T14)/Forutsetninger!$B$54,Forutsetninger!$B$53*Forutsetninger!$B$55*B14)</f>
        <v>11733.395555555557</v>
      </c>
      <c r="W14" s="54">
        <f>V14*Forutsetninger!$B$54</f>
        <v>10560.056</v>
      </c>
      <c r="X14" s="54">
        <f t="shared" si="4"/>
        <v>1173.3395555555562</v>
      </c>
      <c r="Y14" s="54">
        <f t="shared" si="5"/>
        <v>0</v>
      </c>
      <c r="Z14" s="54">
        <f t="shared" si="6"/>
        <v>6812.580444444442</v>
      </c>
      <c r="AA14" s="22">
        <f t="shared" si="7"/>
        <v>1</v>
      </c>
      <c r="AB14" s="57">
        <f>Y14*(Forutsetninger!$B$58*H14+Forutsetninger!$B$59)</f>
        <v>0</v>
      </c>
      <c r="AC14" s="57">
        <f>Z14*Forutsetninger!$B$61*H14</f>
        <v>3985.3595599999985</v>
      </c>
      <c r="AD14" s="57">
        <f t="shared" si="8"/>
        <v>-3985.3595599999985</v>
      </c>
      <c r="AE14" s="57">
        <f>(I14+J14+K14)*(Forutsetninger!$B$58*H14+Forutsetninger!$B$59)</f>
        <v>46255.9</v>
      </c>
      <c r="AF14" s="57">
        <f t="shared" si="9"/>
        <v>50241.259559999999</v>
      </c>
      <c r="AG14" s="60">
        <f>(I14+J14+K14-Y14)*Forutsetninger!$B$62</f>
        <v>5573</v>
      </c>
    </row>
    <row r="15" spans="1:33">
      <c r="A15" s="19" t="s">
        <v>164</v>
      </c>
      <c r="B15" s="67">
        <v>30</v>
      </c>
      <c r="C15" s="20">
        <v>0.08</v>
      </c>
      <c r="D15" s="20">
        <v>0.05</v>
      </c>
      <c r="E15" s="20">
        <v>0.09</v>
      </c>
      <c r="F15" s="20">
        <v>7.0000000000000007E-2</v>
      </c>
      <c r="G15" s="20">
        <v>0.06</v>
      </c>
      <c r="H15" s="70">
        <v>0.88</v>
      </c>
      <c r="I15" s="53">
        <f>Forutsetninger!$B$12*C15</f>
        <v>16800</v>
      </c>
      <c r="J15" s="53">
        <f>Forutsetninger!$B$11*C15</f>
        <v>4760</v>
      </c>
      <c r="K15" s="53">
        <f>Forutsetninger!$B$13*D15</f>
        <v>22500</v>
      </c>
      <c r="L15" s="53">
        <f>MIN(K15,Forutsetninger!$B$48*G15)</f>
        <v>22500</v>
      </c>
      <c r="M15" s="53">
        <f>L15/Forutsetninger!$B$47</f>
        <v>6250</v>
      </c>
      <c r="N15" s="53">
        <f t="shared" si="0"/>
        <v>0</v>
      </c>
      <c r="O15" s="53">
        <f>Forutsetninger!$B$39*E15</f>
        <v>1800</v>
      </c>
      <c r="P15" s="53">
        <f t="shared" si="1"/>
        <v>29610</v>
      </c>
      <c r="Q15" s="53">
        <f>Forutsetninger!$B$26*E15</f>
        <v>21921.03</v>
      </c>
      <c r="R15" s="53">
        <f>Forutsetninger!$B$35*F15</f>
        <v>2943.36</v>
      </c>
      <c r="S15" s="53">
        <f t="shared" si="2"/>
        <v>24864.39</v>
      </c>
      <c r="T15" s="53">
        <f>MIN(Q15*Forutsetninger!$B$65+R15*Forutsetninger!$B$66,P15)</f>
        <v>10534.428</v>
      </c>
      <c r="U15" s="53">
        <f t="shared" si="3"/>
        <v>14329.962</v>
      </c>
      <c r="V15" s="53">
        <f>MIN(U15,(P15-T15)/Forutsetninger!$B$54,Forutsetninger!$B$53*Forutsetninger!$B$55*B15)</f>
        <v>12600</v>
      </c>
      <c r="W15" s="53">
        <f>V15*Forutsetninger!$B$54</f>
        <v>11340</v>
      </c>
      <c r="X15" s="53">
        <f t="shared" si="4"/>
        <v>1260</v>
      </c>
      <c r="Y15" s="53">
        <f t="shared" si="5"/>
        <v>7735.5720000000001</v>
      </c>
      <c r="Z15" s="53">
        <f t="shared" si="6"/>
        <v>1729.9619999999995</v>
      </c>
      <c r="AA15" s="20">
        <f t="shared" si="7"/>
        <v>0.73875136778115502</v>
      </c>
      <c r="AB15" s="56">
        <f>Y15*(Forutsetninger!$B$58*H15+Forutsetninger!$B$59)</f>
        <v>14388.163920000001</v>
      </c>
      <c r="AC15" s="56">
        <f>Z15*Forutsetninger!$B$61*H15</f>
        <v>1141.7749199999996</v>
      </c>
      <c r="AD15" s="56">
        <f t="shared" si="8"/>
        <v>13246.389000000001</v>
      </c>
      <c r="AE15" s="56">
        <f>(I15+J15+K15)*(Forutsetninger!$B$58*H15+Forutsetninger!$B$59)</f>
        <v>81951.600000000006</v>
      </c>
      <c r="AF15" s="56">
        <f t="shared" si="9"/>
        <v>68705.21100000001</v>
      </c>
      <c r="AG15" s="59">
        <f>(I15+J15+K15-Y15)*Forutsetninger!$B$62</f>
        <v>7264.8856000000005</v>
      </c>
    </row>
    <row r="16" spans="1:33">
      <c r="A16" s="21" t="s">
        <v>165</v>
      </c>
      <c r="B16" s="68">
        <v>31</v>
      </c>
      <c r="C16" s="22">
        <v>8.5000000000000006E-2</v>
      </c>
      <c r="D16" s="22">
        <v>0.09</v>
      </c>
      <c r="E16" s="22">
        <v>0.05</v>
      </c>
      <c r="F16" s="22">
        <v>0.09</v>
      </c>
      <c r="G16" s="22">
        <v>0.08</v>
      </c>
      <c r="H16" s="71">
        <v>1</v>
      </c>
      <c r="I16" s="54">
        <f>Forutsetninger!$B$12*C16</f>
        <v>17850</v>
      </c>
      <c r="J16" s="54">
        <f>Forutsetninger!$B$11*C16</f>
        <v>5057.5</v>
      </c>
      <c r="K16" s="54">
        <f>Forutsetninger!$B$13*D16</f>
        <v>40500</v>
      </c>
      <c r="L16" s="54">
        <f>MIN(K16,Forutsetninger!$B$48*G16)</f>
        <v>39987.692307692305</v>
      </c>
      <c r="M16" s="54">
        <f>L16/Forutsetninger!$B$47</f>
        <v>11107.692307692307</v>
      </c>
      <c r="N16" s="54">
        <f t="shared" si="0"/>
        <v>512.30769230769511</v>
      </c>
      <c r="O16" s="54">
        <f>Forutsetninger!$B$39*E16</f>
        <v>1000</v>
      </c>
      <c r="P16" s="54">
        <f t="shared" si="1"/>
        <v>35527.5</v>
      </c>
      <c r="Q16" s="54">
        <f>Forutsetninger!$B$26*E16</f>
        <v>12178.35</v>
      </c>
      <c r="R16" s="54">
        <f>Forutsetninger!$B$35*F16</f>
        <v>3784.3199999999997</v>
      </c>
      <c r="S16" s="54">
        <f t="shared" si="2"/>
        <v>15962.67</v>
      </c>
      <c r="T16" s="54">
        <f>MIN(Q16*Forutsetninger!$B$65+R16*Forutsetninger!$B$66,P16)</f>
        <v>7141.9319999999998</v>
      </c>
      <c r="U16" s="54">
        <f t="shared" si="3"/>
        <v>8820.7380000000012</v>
      </c>
      <c r="V16" s="54">
        <f>MIN(U16,(P16-T16)/Forutsetninger!$B$54,Forutsetninger!$B$53*Forutsetninger!$B$55*B16)</f>
        <v>8820.7380000000012</v>
      </c>
      <c r="W16" s="54">
        <f>V16*Forutsetninger!$B$54</f>
        <v>7938.6642000000011</v>
      </c>
      <c r="X16" s="54">
        <f t="shared" si="4"/>
        <v>882.07380000000012</v>
      </c>
      <c r="Y16" s="54">
        <f t="shared" si="5"/>
        <v>20446.9038</v>
      </c>
      <c r="Z16" s="54">
        <f t="shared" si="6"/>
        <v>0</v>
      </c>
      <c r="AA16" s="22">
        <f t="shared" si="7"/>
        <v>0.42447670677644078</v>
      </c>
      <c r="AB16" s="57">
        <f>Y16*(Forutsetninger!$B$58*H16+Forutsetninger!$B$59)</f>
        <v>42938.49798</v>
      </c>
      <c r="AC16" s="57">
        <f>Z16*Forutsetninger!$B$61*H16</f>
        <v>0</v>
      </c>
      <c r="AD16" s="57">
        <f t="shared" si="8"/>
        <v>42938.49798</v>
      </c>
      <c r="AE16" s="57">
        <f>(I16+J16+K16)*(Forutsetninger!$B$58*H16+Forutsetninger!$B$59)</f>
        <v>133155.75</v>
      </c>
      <c r="AF16" s="57">
        <f t="shared" si="9"/>
        <v>90217.25202</v>
      </c>
      <c r="AG16" s="60">
        <f>(I16+J16+K16-Y16)*Forutsetninger!$B$62</f>
        <v>8592.11924</v>
      </c>
    </row>
    <row r="17" spans="1:33">
      <c r="A17" s="19" t="s">
        <v>166</v>
      </c>
      <c r="B17" s="67">
        <v>30</v>
      </c>
      <c r="C17" s="20">
        <v>0.09</v>
      </c>
      <c r="D17" s="20">
        <v>0.12</v>
      </c>
      <c r="E17" s="20">
        <v>0.02</v>
      </c>
      <c r="F17" s="20">
        <v>0.11</v>
      </c>
      <c r="G17" s="20">
        <v>0.11</v>
      </c>
      <c r="H17" s="70">
        <v>1.1399999999999999</v>
      </c>
      <c r="I17" s="53">
        <f>Forutsetninger!$B$12*C17</f>
        <v>18900</v>
      </c>
      <c r="J17" s="53">
        <f>Forutsetninger!$B$11*C17</f>
        <v>5355</v>
      </c>
      <c r="K17" s="53">
        <f>Forutsetninger!$B$13*D17</f>
        <v>54000</v>
      </c>
      <c r="L17" s="53">
        <f>MIN(K17,Forutsetninger!$B$48*G17)</f>
        <v>54000</v>
      </c>
      <c r="M17" s="53">
        <f>L17/Forutsetninger!$B$47</f>
        <v>15000</v>
      </c>
      <c r="N17" s="53">
        <f t="shared" si="0"/>
        <v>0</v>
      </c>
      <c r="O17" s="53">
        <f>Forutsetninger!$B$39*E17</f>
        <v>400</v>
      </c>
      <c r="P17" s="53">
        <f t="shared" si="1"/>
        <v>39655</v>
      </c>
      <c r="Q17" s="53">
        <f>Forutsetninger!$B$26*E17</f>
        <v>4871.34</v>
      </c>
      <c r="R17" s="53">
        <f>Forutsetninger!$B$35*F17</f>
        <v>4625.28</v>
      </c>
      <c r="S17" s="53">
        <f t="shared" si="2"/>
        <v>9496.619999999999</v>
      </c>
      <c r="T17" s="53">
        <f>MIN(Q17*Forutsetninger!$B$65+R17*Forutsetninger!$B$66,P17)</f>
        <v>4723.7039999999997</v>
      </c>
      <c r="U17" s="53">
        <f t="shared" si="3"/>
        <v>4772.9159999999993</v>
      </c>
      <c r="V17" s="53">
        <f>MIN(U17,(P17-T17)/Forutsetninger!$B$54,Forutsetninger!$B$53*Forutsetninger!$B$55*B17)</f>
        <v>4772.9159999999993</v>
      </c>
      <c r="W17" s="53">
        <f>V17*Forutsetninger!$B$54</f>
        <v>4295.6243999999997</v>
      </c>
      <c r="X17" s="53">
        <f t="shared" si="4"/>
        <v>477.29159999999956</v>
      </c>
      <c r="Y17" s="53">
        <f t="shared" si="5"/>
        <v>30635.671600000001</v>
      </c>
      <c r="Z17" s="53">
        <f t="shared" si="6"/>
        <v>0</v>
      </c>
      <c r="AA17" s="20">
        <f t="shared" si="7"/>
        <v>0.22744492245618456</v>
      </c>
      <c r="AB17" s="56">
        <f>Y17*(Forutsetninger!$B$58*H17+Forutsetninger!$B$59)</f>
        <v>72912.898407999994</v>
      </c>
      <c r="AC17" s="56">
        <f>Z17*Forutsetninger!$B$61*H17</f>
        <v>0</v>
      </c>
      <c r="AD17" s="56">
        <f t="shared" si="8"/>
        <v>72912.898407999994</v>
      </c>
      <c r="AE17" s="56">
        <f>(I17+J17+K17)*(Forutsetninger!$B$58*H17+Forutsetninger!$B$59)</f>
        <v>186246.9</v>
      </c>
      <c r="AF17" s="56">
        <f t="shared" si="9"/>
        <v>113334.001592</v>
      </c>
      <c r="AG17" s="59">
        <f>(I17+J17+K17-Y17)*Forutsetninger!$B$62</f>
        <v>9523.8656800000008</v>
      </c>
    </row>
    <row r="18" spans="1:33">
      <c r="A18" s="21" t="s">
        <v>167</v>
      </c>
      <c r="B18" s="68">
        <v>31</v>
      </c>
      <c r="C18" s="22">
        <v>0.09</v>
      </c>
      <c r="D18" s="22">
        <v>0.15</v>
      </c>
      <c r="E18" s="22">
        <v>0.01</v>
      </c>
      <c r="F18" s="22">
        <v>0.13</v>
      </c>
      <c r="G18" s="22">
        <v>0.14000000000000001</v>
      </c>
      <c r="H18" s="71">
        <v>1.2</v>
      </c>
      <c r="I18" s="54">
        <f>Forutsetninger!$B$12*C18</f>
        <v>18900</v>
      </c>
      <c r="J18" s="54">
        <f>Forutsetninger!$B$11*C18</f>
        <v>5355</v>
      </c>
      <c r="K18" s="54">
        <f>Forutsetninger!$B$13*D18</f>
        <v>67500</v>
      </c>
      <c r="L18" s="54">
        <f>MIN(K18,Forutsetninger!$B$48*G18)</f>
        <v>67500</v>
      </c>
      <c r="M18" s="54">
        <f>L18/Forutsetninger!$B$47</f>
        <v>18750</v>
      </c>
      <c r="N18" s="54">
        <f t="shared" si="0"/>
        <v>0</v>
      </c>
      <c r="O18" s="54">
        <f>Forutsetninger!$B$39*E18</f>
        <v>200</v>
      </c>
      <c r="P18" s="54">
        <f t="shared" si="1"/>
        <v>43205</v>
      </c>
      <c r="Q18" s="54">
        <f>Forutsetninger!$B$26*E18</f>
        <v>2435.67</v>
      </c>
      <c r="R18" s="54">
        <f>Forutsetninger!$B$35*F18</f>
        <v>5466.24</v>
      </c>
      <c r="S18" s="54">
        <f t="shared" si="2"/>
        <v>7901.91</v>
      </c>
      <c r="T18" s="54">
        <f>MIN(Q18*Forutsetninger!$B$65+R18*Forutsetninger!$B$66,P18)</f>
        <v>4254.0119999999997</v>
      </c>
      <c r="U18" s="54">
        <f t="shared" si="3"/>
        <v>3647.8980000000001</v>
      </c>
      <c r="V18" s="54">
        <f>MIN(U18,(P18-T18)/Forutsetninger!$B$54,Forutsetninger!$B$53*Forutsetninger!$B$55*B18)</f>
        <v>3647.8980000000001</v>
      </c>
      <c r="W18" s="54">
        <f>V18*Forutsetninger!$B$54</f>
        <v>3283.1082000000001</v>
      </c>
      <c r="X18" s="54">
        <f t="shared" si="4"/>
        <v>364.78980000000001</v>
      </c>
      <c r="Y18" s="54">
        <f t="shared" si="5"/>
        <v>35667.879799999995</v>
      </c>
      <c r="Z18" s="54">
        <f t="shared" si="6"/>
        <v>0</v>
      </c>
      <c r="AA18" s="22">
        <f t="shared" si="7"/>
        <v>0.17445018400648071</v>
      </c>
      <c r="AB18" s="57">
        <f>Y18*(Forutsetninger!$B$58*H18+Forutsetninger!$B$59)</f>
        <v>89169.699499999988</v>
      </c>
      <c r="AC18" s="57">
        <f>Z18*Forutsetninger!$B$61*H18</f>
        <v>0</v>
      </c>
      <c r="AD18" s="57">
        <f t="shared" si="8"/>
        <v>89169.699499999988</v>
      </c>
      <c r="AE18" s="57">
        <f>(I18+J18+K18)*(Forutsetninger!$B$58*H18+Forutsetninger!$B$59)</f>
        <v>229387.5</v>
      </c>
      <c r="AF18" s="57">
        <f t="shared" si="9"/>
        <v>140217.80050000001</v>
      </c>
      <c r="AG18" s="60">
        <f>(I18+J18+K18-Y18)*Forutsetninger!$B$62</f>
        <v>11217.424040000002</v>
      </c>
    </row>
    <row r="19" spans="1:33">
      <c r="A19" s="23" t="s">
        <v>168</v>
      </c>
      <c r="B19" s="69">
        <f t="shared" ref="B19:Z19" si="10">SUM(B7:B18)</f>
        <v>365</v>
      </c>
      <c r="C19" s="24">
        <f t="shared" si="10"/>
        <v>0.99999999999999989</v>
      </c>
      <c r="D19" s="24">
        <f t="shared" si="10"/>
        <v>1</v>
      </c>
      <c r="E19" s="24">
        <f t="shared" si="10"/>
        <v>1</v>
      </c>
      <c r="F19" s="24">
        <f>SUM(F7:F18)</f>
        <v>1</v>
      </c>
      <c r="G19" s="24">
        <f>SUM(G7:G18)</f>
        <v>1</v>
      </c>
      <c r="H19" s="72">
        <f>AVERAGE(H7:H18)</f>
        <v>1</v>
      </c>
      <c r="I19" s="55">
        <f t="shared" si="10"/>
        <v>210000</v>
      </c>
      <c r="J19" s="55">
        <f t="shared" si="10"/>
        <v>59500</v>
      </c>
      <c r="K19" s="55">
        <f t="shared" si="10"/>
        <v>450000</v>
      </c>
      <c r="L19" s="55">
        <f t="shared" si="10"/>
        <v>444960</v>
      </c>
      <c r="M19" s="55">
        <f t="shared" si="10"/>
        <v>123600</v>
      </c>
      <c r="N19" s="55">
        <f>SUM(N7:N18)</f>
        <v>5040.0000000000073</v>
      </c>
      <c r="O19" s="55">
        <f>SUM(O7:O18)</f>
        <v>20000</v>
      </c>
      <c r="P19" s="55">
        <f t="shared" si="10"/>
        <v>418140</v>
      </c>
      <c r="Q19" s="55">
        <f t="shared" si="10"/>
        <v>243567.00000000003</v>
      </c>
      <c r="R19" s="55">
        <f>SUM(R7:R18)</f>
        <v>42048</v>
      </c>
      <c r="S19" s="55">
        <f>SUM(S7:S18)</f>
        <v>285614.99999999994</v>
      </c>
      <c r="T19" s="55">
        <f t="shared" si="10"/>
        <v>122655.60000000002</v>
      </c>
      <c r="U19" s="55">
        <f t="shared" si="10"/>
        <v>162959.4</v>
      </c>
      <c r="V19" s="55">
        <f t="shared" si="10"/>
        <v>107706.26755555556</v>
      </c>
      <c r="W19" s="55">
        <f t="shared" si="10"/>
        <v>96935.640800000008</v>
      </c>
      <c r="X19" s="55">
        <f t="shared" si="10"/>
        <v>10770.626755555555</v>
      </c>
      <c r="Y19" s="55">
        <f t="shared" si="10"/>
        <v>198548.75919999997</v>
      </c>
      <c r="Z19" s="55">
        <f t="shared" si="10"/>
        <v>55253.13244444444</v>
      </c>
      <c r="AA19" s="24">
        <f>(T19+W19)/P19</f>
        <v>0.52516200507007227</v>
      </c>
      <c r="AB19" s="58">
        <f t="shared" ref="AB19:AG19" si="11">SUM(AB7:AB18)</f>
        <v>481669.203148</v>
      </c>
      <c r="AC19" s="58">
        <f t="shared" si="11"/>
        <v>32936.208729999991</v>
      </c>
      <c r="AD19" s="58">
        <f t="shared" si="11"/>
        <v>448732.99441799999</v>
      </c>
      <c r="AE19" s="58">
        <f t="shared" si="11"/>
        <v>1625600.65</v>
      </c>
      <c r="AF19" s="58">
        <f t="shared" si="11"/>
        <v>1176867.655582</v>
      </c>
      <c r="AG19" s="61">
        <f t="shared" si="11"/>
        <v>104190.24816</v>
      </c>
    </row>
    <row r="21" spans="1:33">
      <c r="A21" s="121" t="s">
        <v>169</v>
      </c>
      <c r="B21" s="122"/>
      <c r="C21" s="122"/>
      <c r="D21" s="123"/>
    </row>
    <row r="22" spans="1:33">
      <c r="A22" s="102" t="s">
        <v>170</v>
      </c>
      <c r="B22" s="103"/>
      <c r="C22" s="63">
        <f>P19</f>
        <v>418140</v>
      </c>
      <c r="D22" s="28" t="s">
        <v>171</v>
      </c>
    </row>
    <row r="23" spans="1:33">
      <c r="A23" s="97" t="s">
        <v>172</v>
      </c>
      <c r="B23" s="98"/>
      <c r="C23" s="64">
        <f>S19</f>
        <v>285614.99999999994</v>
      </c>
      <c r="D23" s="29" t="s">
        <v>171</v>
      </c>
    </row>
    <row r="24" spans="1:33">
      <c r="A24" s="97" t="s">
        <v>173</v>
      </c>
      <c r="B24" s="98"/>
      <c r="C24" s="64">
        <f>W19</f>
        <v>96935.640800000008</v>
      </c>
      <c r="D24" s="29" t="s">
        <v>171</v>
      </c>
    </row>
    <row r="25" spans="1:33">
      <c r="A25" s="124" t="s">
        <v>174</v>
      </c>
      <c r="B25" s="125"/>
      <c r="C25" s="64">
        <f>O19</f>
        <v>20000</v>
      </c>
      <c r="D25" s="29" t="s">
        <v>171</v>
      </c>
    </row>
    <row r="26" spans="1:33">
      <c r="A26" s="124" t="s">
        <v>175</v>
      </c>
      <c r="B26" s="125"/>
      <c r="C26" s="64">
        <f>Z19</f>
        <v>55253.13244444444</v>
      </c>
      <c r="D26" s="29" t="s">
        <v>171</v>
      </c>
    </row>
    <row r="27" spans="1:33">
      <c r="A27" s="97" t="s">
        <v>176</v>
      </c>
      <c r="B27" s="98"/>
      <c r="C27" s="30">
        <f>AA19</f>
        <v>0.52516200507007227</v>
      </c>
      <c r="D27" s="29" t="s">
        <v>177</v>
      </c>
    </row>
    <row r="28" spans="1:33">
      <c r="A28" s="97" t="s">
        <v>178</v>
      </c>
      <c r="B28" s="98"/>
      <c r="C28" s="65">
        <f>AD19</f>
        <v>448732.99441799999</v>
      </c>
      <c r="D28" s="29" t="s">
        <v>179</v>
      </c>
    </row>
    <row r="29" spans="1:33">
      <c r="A29" s="97" t="s">
        <v>180</v>
      </c>
      <c r="B29" s="98"/>
      <c r="C29" s="65">
        <f>AF19</f>
        <v>1176867.655582</v>
      </c>
      <c r="D29" s="29" t="s">
        <v>179</v>
      </c>
    </row>
    <row r="30" spans="1:33">
      <c r="A30" s="97" t="s">
        <v>181</v>
      </c>
      <c r="B30" s="98"/>
      <c r="C30" s="65">
        <f>AF19/Forutsetninger!$B$6</f>
        <v>39228.921852733336</v>
      </c>
      <c r="D30" s="29" t="s">
        <v>179</v>
      </c>
    </row>
    <row r="31" spans="1:33">
      <c r="A31" s="97" t="s">
        <v>182</v>
      </c>
      <c r="B31" s="98"/>
      <c r="C31" s="66">
        <f>AG19</f>
        <v>104190.24816</v>
      </c>
      <c r="D31" s="29" t="s">
        <v>183</v>
      </c>
    </row>
    <row r="33" spans="1:10">
      <c r="A33" s="122" t="s">
        <v>184</v>
      </c>
      <c r="B33" s="122"/>
      <c r="C33" s="122"/>
      <c r="D33" s="122"/>
      <c r="E33" s="122"/>
      <c r="F33" s="122"/>
      <c r="G33" s="122"/>
      <c r="H33" s="122"/>
      <c r="I33" s="122"/>
      <c r="J33" s="4"/>
    </row>
    <row r="34" spans="1:10" ht="34.15" customHeight="1">
      <c r="A34" s="31" t="s">
        <v>123</v>
      </c>
      <c r="B34" s="32" t="s">
        <v>185</v>
      </c>
      <c r="C34" s="50" t="s">
        <v>186</v>
      </c>
      <c r="D34" s="50" t="s">
        <v>187</v>
      </c>
      <c r="E34" s="50" t="s">
        <v>188</v>
      </c>
      <c r="F34" s="51" t="s">
        <v>148</v>
      </c>
      <c r="G34" s="52"/>
      <c r="H34" s="52"/>
      <c r="J34" s="34"/>
    </row>
    <row r="35" spans="1:10">
      <c r="A35" s="33" t="str">
        <f>A7</f>
        <v>Januar</v>
      </c>
      <c r="B35" s="53">
        <f>L7-M7</f>
        <v>48750</v>
      </c>
      <c r="C35" s="53">
        <f>T7</f>
        <v>3749.4359999999997</v>
      </c>
      <c r="D35" s="53">
        <f>W7</f>
        <v>2980.3626000000004</v>
      </c>
      <c r="E35" s="53">
        <f>Y7</f>
        <v>37822.701399999998</v>
      </c>
      <c r="F35" s="53">
        <f>Z7</f>
        <v>0</v>
      </c>
      <c r="G35" s="18"/>
      <c r="H35" s="18"/>
      <c r="J35" s="18"/>
    </row>
    <row r="36" spans="1:10">
      <c r="A36" s="33" t="str">
        <f t="shared" ref="A36:A46" si="12">A8</f>
        <v>Februar</v>
      </c>
      <c r="B36" s="53">
        <f t="shared" ref="B36:B46" si="13">L8-M8</f>
        <v>42250</v>
      </c>
      <c r="C36" s="53">
        <f t="shared" ref="C36:C46" si="14">T8</f>
        <v>5445.6840000000002</v>
      </c>
      <c r="D36" s="53">
        <f t="shared" ref="D36:D46" si="15">W8</f>
        <v>5459.5133999999998</v>
      </c>
      <c r="E36" s="53">
        <f t="shared" ref="E36:F36" si="16">Y8</f>
        <v>30199.802599999999</v>
      </c>
      <c r="F36" s="53">
        <f t="shared" si="16"/>
        <v>0</v>
      </c>
      <c r="G36" s="18"/>
      <c r="H36" s="18"/>
      <c r="J36" s="18"/>
    </row>
    <row r="37" spans="1:10">
      <c r="A37" s="33" t="str">
        <f t="shared" si="12"/>
        <v>Mars</v>
      </c>
      <c r="B37" s="53">
        <f t="shared" si="13"/>
        <v>36100</v>
      </c>
      <c r="C37" s="53">
        <f t="shared" si="14"/>
        <v>10064.736000000001</v>
      </c>
      <c r="D37" s="53">
        <f t="shared" si="15"/>
        <v>11718</v>
      </c>
      <c r="E37" s="53">
        <f t="shared" ref="E37:F37" si="17">Y9</f>
        <v>21972.263999999996</v>
      </c>
      <c r="F37" s="53">
        <f t="shared" si="17"/>
        <v>184.94399999999951</v>
      </c>
      <c r="G37" s="18"/>
      <c r="H37" s="18"/>
      <c r="J37" s="18"/>
    </row>
    <row r="38" spans="1:10">
      <c r="A38" s="33" t="str">
        <f t="shared" si="12"/>
        <v>April</v>
      </c>
      <c r="B38" s="53">
        <f t="shared" si="13"/>
        <v>28880</v>
      </c>
      <c r="C38" s="53">
        <f t="shared" si="14"/>
        <v>13709.52</v>
      </c>
      <c r="D38" s="53">
        <f t="shared" si="15"/>
        <v>11340</v>
      </c>
      <c r="E38" s="53">
        <f t="shared" ref="E38:F38" si="18">Y10</f>
        <v>11877.98</v>
      </c>
      <c r="F38" s="53">
        <f t="shared" si="18"/>
        <v>6282.3599999999969</v>
      </c>
      <c r="G38" s="18"/>
      <c r="H38" s="18"/>
      <c r="J38" s="18"/>
    </row>
    <row r="39" spans="1:10">
      <c r="A39" s="33" t="str">
        <f t="shared" si="12"/>
        <v>Mai</v>
      </c>
      <c r="B39" s="53">
        <f t="shared" si="13"/>
        <v>16250</v>
      </c>
      <c r="C39" s="53">
        <f t="shared" si="14"/>
        <v>17102.016</v>
      </c>
      <c r="D39" s="53">
        <f t="shared" si="15"/>
        <v>11718</v>
      </c>
      <c r="E39" s="53">
        <f t="shared" ref="E39:F39" si="19">Y11</f>
        <v>2189.9840000000004</v>
      </c>
      <c r="F39" s="53">
        <f t="shared" si="19"/>
        <v>11371.583999999999</v>
      </c>
      <c r="G39" s="18"/>
      <c r="H39" s="18"/>
      <c r="J39" s="18"/>
    </row>
    <row r="40" spans="1:10">
      <c r="A40" s="33" t="str">
        <f t="shared" si="12"/>
        <v>Juni</v>
      </c>
      <c r="B40" s="53">
        <f t="shared" si="13"/>
        <v>6500</v>
      </c>
      <c r="C40" s="53">
        <f t="shared" si="14"/>
        <v>16849.727999999999</v>
      </c>
      <c r="D40" s="53">
        <f t="shared" si="15"/>
        <v>9062.7720000000008</v>
      </c>
      <c r="E40" s="53">
        <f t="shared" ref="E40:F40" si="20">Y12</f>
        <v>0</v>
      </c>
      <c r="F40" s="53">
        <f t="shared" si="20"/>
        <v>14153.645333333336</v>
      </c>
      <c r="G40" s="18"/>
      <c r="H40" s="18"/>
      <c r="J40" s="18"/>
    </row>
    <row r="41" spans="1:10">
      <c r="A41" s="33" t="str">
        <f t="shared" si="12"/>
        <v>Juli</v>
      </c>
      <c r="B41" s="53">
        <f t="shared" si="13"/>
        <v>3250</v>
      </c>
      <c r="C41" s="53">
        <f t="shared" si="14"/>
        <v>15875.46</v>
      </c>
      <c r="D41" s="53">
        <f t="shared" si="15"/>
        <v>7239.5400000000009</v>
      </c>
      <c r="E41" s="53">
        <f t="shared" ref="E41:F41" si="21">Y13</f>
        <v>0</v>
      </c>
      <c r="F41" s="53">
        <f t="shared" si="21"/>
        <v>14718.056666666664</v>
      </c>
      <c r="G41" s="18"/>
      <c r="H41" s="18"/>
      <c r="J41" s="18"/>
    </row>
    <row r="42" spans="1:10">
      <c r="A42" s="33" t="str">
        <f t="shared" si="12"/>
        <v>August</v>
      </c>
      <c r="B42" s="53">
        <f t="shared" si="13"/>
        <v>6500</v>
      </c>
      <c r="C42" s="53">
        <f t="shared" si="14"/>
        <v>13204.944</v>
      </c>
      <c r="D42" s="53">
        <f t="shared" si="15"/>
        <v>10560.056</v>
      </c>
      <c r="E42" s="53">
        <f t="shared" ref="E42:F42" si="22">Y14</f>
        <v>0</v>
      </c>
      <c r="F42" s="53">
        <f t="shared" si="22"/>
        <v>6812.580444444442</v>
      </c>
      <c r="G42" s="18"/>
      <c r="H42" s="18"/>
      <c r="J42" s="18"/>
    </row>
    <row r="43" spans="1:10">
      <c r="A43" s="33" t="str">
        <f t="shared" si="12"/>
        <v>September</v>
      </c>
      <c r="B43" s="53">
        <f t="shared" si="13"/>
        <v>16250</v>
      </c>
      <c r="C43" s="53">
        <f t="shared" si="14"/>
        <v>10534.428</v>
      </c>
      <c r="D43" s="53">
        <f t="shared" si="15"/>
        <v>11340</v>
      </c>
      <c r="E43" s="53">
        <f t="shared" ref="E43:F43" si="23">Y15</f>
        <v>7735.5720000000001</v>
      </c>
      <c r="F43" s="53">
        <f t="shared" si="23"/>
        <v>1729.9619999999995</v>
      </c>
      <c r="G43" s="18"/>
      <c r="H43" s="18"/>
      <c r="J43" s="18"/>
    </row>
    <row r="44" spans="1:10">
      <c r="A44" s="33" t="str">
        <f t="shared" si="12"/>
        <v>Oktober</v>
      </c>
      <c r="B44" s="53">
        <f t="shared" si="13"/>
        <v>28880</v>
      </c>
      <c r="C44" s="53">
        <f t="shared" si="14"/>
        <v>7141.9319999999998</v>
      </c>
      <c r="D44" s="53">
        <f t="shared" si="15"/>
        <v>7938.6642000000011</v>
      </c>
      <c r="E44" s="53">
        <f t="shared" ref="E44:F44" si="24">Y16</f>
        <v>20446.9038</v>
      </c>
      <c r="F44" s="53">
        <f t="shared" si="24"/>
        <v>0</v>
      </c>
      <c r="G44" s="18"/>
      <c r="H44" s="18"/>
      <c r="J44" s="18"/>
    </row>
    <row r="45" spans="1:10">
      <c r="A45" s="33" t="str">
        <f t="shared" si="12"/>
        <v>November</v>
      </c>
      <c r="B45" s="53">
        <f t="shared" si="13"/>
        <v>39000</v>
      </c>
      <c r="C45" s="53">
        <f t="shared" si="14"/>
        <v>4723.7039999999997</v>
      </c>
      <c r="D45" s="53">
        <f t="shared" si="15"/>
        <v>4295.6243999999997</v>
      </c>
      <c r="E45" s="53">
        <f t="shared" ref="E45:F45" si="25">Y17</f>
        <v>30635.671600000001</v>
      </c>
      <c r="F45" s="53">
        <f t="shared" si="25"/>
        <v>0</v>
      </c>
      <c r="G45" s="18"/>
      <c r="H45" s="18"/>
      <c r="J45" s="18"/>
    </row>
    <row r="46" spans="1:10">
      <c r="A46" s="33" t="str">
        <f t="shared" si="12"/>
        <v>Desember</v>
      </c>
      <c r="B46" s="53">
        <f t="shared" si="13"/>
        <v>48750</v>
      </c>
      <c r="C46" s="53">
        <f t="shared" si="14"/>
        <v>4254.0119999999997</v>
      </c>
      <c r="D46" s="53">
        <f t="shared" si="15"/>
        <v>3283.1082000000001</v>
      </c>
      <c r="E46" s="53">
        <f t="shared" ref="E46:F46" si="26">Y18</f>
        <v>35667.879799999995</v>
      </c>
      <c r="F46" s="53">
        <f t="shared" si="26"/>
        <v>0</v>
      </c>
      <c r="G46" s="18"/>
      <c r="H46" s="18"/>
      <c r="J46" s="18"/>
    </row>
    <row r="47" spans="1:10">
      <c r="B47" s="62">
        <f>SUM(B35:B46)</f>
        <v>321360</v>
      </c>
      <c r="C47" s="62">
        <f>SUM(C35:C46)</f>
        <v>122655.60000000002</v>
      </c>
      <c r="D47" s="62">
        <f>SUM(D35:D46)</f>
        <v>96935.640800000008</v>
      </c>
      <c r="E47" s="62">
        <f>SUM(E35:E46)</f>
        <v>198548.75919999997</v>
      </c>
      <c r="F47" s="62">
        <f>SUM(F35:F46)</f>
        <v>55253.13244444444</v>
      </c>
      <c r="G47" s="18"/>
      <c r="H47" s="18"/>
    </row>
    <row r="57" spans="1:3">
      <c r="A57" s="4" t="s">
        <v>189</v>
      </c>
      <c r="B57" s="4"/>
      <c r="C57" s="4"/>
    </row>
    <row r="58" spans="1:3">
      <c r="A58" s="34" t="s">
        <v>123</v>
      </c>
      <c r="B58" s="34" t="s">
        <v>190</v>
      </c>
      <c r="C58" s="34" t="s">
        <v>191</v>
      </c>
    </row>
    <row r="59" spans="1:3">
      <c r="A59" t="str">
        <f>A7</f>
        <v>Januar</v>
      </c>
      <c r="B59" s="93">
        <f>Forutsetninger!$B$58*H7+Forutsetninger!$B$59</f>
        <v>2.7</v>
      </c>
      <c r="C59" s="93">
        <f>Forutsetninger!$B$61*H7</f>
        <v>0.97500000000000009</v>
      </c>
    </row>
    <row r="60" spans="1:3">
      <c r="A60" t="str">
        <f t="shared" ref="A60:A70" si="27">A8</f>
        <v>Februar</v>
      </c>
      <c r="B60" s="93">
        <f>Forutsetninger!$B$58*H8+Forutsetninger!$B$59</f>
        <v>2.6</v>
      </c>
      <c r="C60" s="93">
        <f>Forutsetninger!$B$61*H8</f>
        <v>0.9375</v>
      </c>
    </row>
    <row r="61" spans="1:3">
      <c r="A61" t="str">
        <f t="shared" si="27"/>
        <v>Mars</v>
      </c>
      <c r="B61" s="93">
        <f>Forutsetninger!$B$58*H9+Forutsetninger!$B$59</f>
        <v>2.4</v>
      </c>
      <c r="C61" s="93">
        <f>Forutsetninger!$B$61*H9</f>
        <v>0.86249999999999993</v>
      </c>
    </row>
    <row r="62" spans="1:3">
      <c r="A62" t="str">
        <f t="shared" si="27"/>
        <v>April</v>
      </c>
      <c r="B62" s="93">
        <f>Forutsetninger!$B$58*H10+Forutsetninger!$B$59</f>
        <v>2.1</v>
      </c>
      <c r="C62" s="93">
        <f>Forutsetninger!$B$61*H10</f>
        <v>0.75</v>
      </c>
    </row>
    <row r="63" spans="1:3">
      <c r="A63" t="str">
        <f t="shared" si="27"/>
        <v>Mai</v>
      </c>
      <c r="B63" s="93">
        <f>Forutsetninger!$B$58*H11+Forutsetninger!$B$59</f>
        <v>1.8</v>
      </c>
      <c r="C63" s="93">
        <f>Forutsetninger!$B$61*H11</f>
        <v>0.63749999999999996</v>
      </c>
    </row>
    <row r="64" spans="1:3">
      <c r="A64" t="str">
        <f t="shared" si="27"/>
        <v>Juni</v>
      </c>
      <c r="B64" s="93">
        <f>Forutsetninger!$B$58*H12+Forutsetninger!$B$59</f>
        <v>1.6</v>
      </c>
      <c r="C64" s="93">
        <f>Forutsetninger!$B$61*H12</f>
        <v>0.5625</v>
      </c>
    </row>
    <row r="65" spans="1:3">
      <c r="A65" t="str">
        <f t="shared" si="27"/>
        <v>Juli</v>
      </c>
      <c r="B65" s="93">
        <f>Forutsetninger!$B$58*H13+Forutsetninger!$B$59</f>
        <v>1.5</v>
      </c>
      <c r="C65" s="93">
        <f>Forutsetninger!$B$61*H13</f>
        <v>0.52499999999999991</v>
      </c>
    </row>
    <row r="66" spans="1:3">
      <c r="A66" t="str">
        <f t="shared" si="27"/>
        <v>August</v>
      </c>
      <c r="B66" s="93">
        <f>Forutsetninger!$B$58*H14+Forutsetninger!$B$59</f>
        <v>1.6600000000000001</v>
      </c>
      <c r="C66" s="93">
        <f>Forutsetninger!$B$61*H14</f>
        <v>0.58499999999999996</v>
      </c>
    </row>
    <row r="67" spans="1:3">
      <c r="A67" t="str">
        <f t="shared" si="27"/>
        <v>September</v>
      </c>
      <c r="B67" s="93">
        <f>Forutsetninger!$B$58*H15+Forutsetninger!$B$59</f>
        <v>1.86</v>
      </c>
      <c r="C67" s="93">
        <f>Forutsetninger!$B$61*H15</f>
        <v>0.66</v>
      </c>
    </row>
    <row r="68" spans="1:3">
      <c r="A68" t="str">
        <f t="shared" si="27"/>
        <v>Oktober</v>
      </c>
      <c r="B68" s="93">
        <f>Forutsetninger!$B$58*H16+Forutsetninger!$B$59</f>
        <v>2.1</v>
      </c>
      <c r="C68" s="93">
        <f>Forutsetninger!$B$61*H16</f>
        <v>0.75</v>
      </c>
    </row>
    <row r="69" spans="1:3">
      <c r="A69" t="str">
        <f t="shared" si="27"/>
        <v>November</v>
      </c>
      <c r="B69" s="93">
        <f>Forutsetninger!$B$58*H17+Forutsetninger!$B$59</f>
        <v>2.38</v>
      </c>
      <c r="C69" s="93">
        <f>Forutsetninger!$B$61*H17</f>
        <v>0.85499999999999998</v>
      </c>
    </row>
    <row r="70" spans="1:3">
      <c r="A70" t="str">
        <f t="shared" si="27"/>
        <v>Desember</v>
      </c>
      <c r="B70" s="93">
        <f>Forutsetninger!$B$58*H18+Forutsetninger!$B$59</f>
        <v>2.5</v>
      </c>
      <c r="C70" s="93">
        <f>Forutsetninger!$B$61*H18</f>
        <v>0.89999999999999991</v>
      </c>
    </row>
    <row r="72" spans="1:3">
      <c r="A72" s="4" t="s">
        <v>192</v>
      </c>
      <c r="B72" s="4"/>
    </row>
    <row r="73" spans="1:3">
      <c r="A73" s="34" t="s">
        <v>193</v>
      </c>
      <c r="B73" s="34" t="s">
        <v>194</v>
      </c>
    </row>
    <row r="74" spans="1:3">
      <c r="A74" t="s">
        <v>195</v>
      </c>
      <c r="B74" s="62">
        <f>B47</f>
        <v>321360</v>
      </c>
    </row>
    <row r="75" spans="1:3">
      <c r="A75" t="s">
        <v>186</v>
      </c>
      <c r="B75" s="62">
        <f>C47</f>
        <v>122655.60000000002</v>
      </c>
    </row>
    <row r="76" spans="1:3">
      <c r="A76" t="s">
        <v>187</v>
      </c>
      <c r="B76" s="62">
        <f>D47</f>
        <v>96935.640800000008</v>
      </c>
    </row>
    <row r="77" spans="1:3">
      <c r="A77" t="s">
        <v>188</v>
      </c>
      <c r="B77" s="62">
        <f>E47</f>
        <v>198548.75919999997</v>
      </c>
    </row>
    <row r="78" spans="1:3">
      <c r="A78" s="95" t="s">
        <v>196</v>
      </c>
      <c r="B78" s="96">
        <f>SUM(B74:B77)</f>
        <v>739500</v>
      </c>
    </row>
  </sheetData>
  <mergeCells count="19">
    <mergeCell ref="A27:B27"/>
    <mergeCell ref="A5:B5"/>
    <mergeCell ref="I5:P5"/>
    <mergeCell ref="Q5:U5"/>
    <mergeCell ref="C5:H5"/>
    <mergeCell ref="A25:B25"/>
    <mergeCell ref="A26:B26"/>
    <mergeCell ref="AB5:AG5"/>
    <mergeCell ref="A21:D21"/>
    <mergeCell ref="A22:B22"/>
    <mergeCell ref="A23:B23"/>
    <mergeCell ref="A24:B24"/>
    <mergeCell ref="V5:X5"/>
    <mergeCell ref="Y5:AA5"/>
    <mergeCell ref="A28:B28"/>
    <mergeCell ref="A29:B29"/>
    <mergeCell ref="A30:B30"/>
    <mergeCell ref="A31:B31"/>
    <mergeCell ref="A33:I33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12021A694D1B4F8789930DD602766A" ma:contentTypeVersion="3" ma:contentTypeDescription="Skapa ett nytt dokument." ma:contentTypeScope="" ma:versionID="d1eba6fbf5d948d24f66599040f9b730">
  <xsd:schema xmlns:xsd="http://www.w3.org/2001/XMLSchema" xmlns:xs="http://www.w3.org/2001/XMLSchema" xmlns:p="http://schemas.microsoft.com/office/2006/metadata/properties" xmlns:ns2="e25b424e-b390-4c43-b581-7736c11a296e" targetNamespace="http://schemas.microsoft.com/office/2006/metadata/properties" ma:root="true" ma:fieldsID="ee1e29b671e709e8e9aad502127344f8" ns2:_="">
    <xsd:import namespace="e25b424e-b390-4c43-b581-7736c11a2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b424e-b390-4c43-b581-7736c11a29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77DD30-BC47-4D58-B516-83A2F7E70E35}"/>
</file>

<file path=customXml/itemProps2.xml><?xml version="1.0" encoding="utf-8"?>
<ds:datastoreItem xmlns:ds="http://schemas.openxmlformats.org/officeDocument/2006/customXml" ds:itemID="{8AE12A02-F344-442F-BD86-DDEB4DB64DC3}"/>
</file>

<file path=customXml/itemProps3.xml><?xml version="1.0" encoding="utf-8"?>
<ds:datastoreItem xmlns:ds="http://schemas.openxmlformats.org/officeDocument/2006/customXml" ds:itemID="{B0573198-B3CB-42ED-B909-C62A9990E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Ljones-Sundfjord</dc:creator>
  <cp:keywords/>
  <dc:description/>
  <cp:lastModifiedBy>Anwar Debes</cp:lastModifiedBy>
  <cp:revision/>
  <dcterms:created xsi:type="dcterms:W3CDTF">2026-09-08T09:24:49Z</dcterms:created>
  <dcterms:modified xsi:type="dcterms:W3CDTF">2026-09-13T00:36:28Z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2026-09-08T09:24:50Z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3872f33f-97e1-4cc4-aff4-774cc6409347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  <property fmtid="{D5CDD505-2E9C-101B-9397-08002B2CF9AE}" pid="10" name="ContentTypeId">
    <vt:lpwstr>0x0101006012021A694D1B4F8789930DD602766A</vt:lpwstr>
  </property>
</Properties>
</file>